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DY\Desktop\"/>
    </mc:Choice>
  </mc:AlternateContent>
  <xr:revisionPtr revIDLastSave="0" documentId="13_ncr:1_{B70BFA72-E5EB-4A45-B4D7-E0EE77B7654F}" xr6:coauthVersionLast="47" xr6:coauthVersionMax="47" xr10:uidLastSave="{00000000-0000-0000-0000-000000000000}"/>
  <bookViews>
    <workbookView xWindow="-120" yWindow="-120" windowWidth="20730" windowHeight="11040" tabRatio="870" xr2:uid="{A64A4FF2-1274-4975-A739-9C64BBF28CB4}"/>
  </bookViews>
  <sheets>
    <sheet name="NETFLIX" sheetId="1" r:id="rId1"/>
    <sheet name="COMBO PLUS" sheetId="15" r:id="rId2"/>
    <sheet name="CLARO VIDEO" sheetId="12" r:id="rId3"/>
    <sheet name="DISNEY" sheetId="2" r:id="rId4"/>
    <sheet name="STAR " sheetId="3" r:id="rId5"/>
    <sheet name="HBO" sheetId="4" r:id="rId6"/>
    <sheet name="PRIME" sheetId="5" r:id="rId7"/>
    <sheet name="MOVISTAR " sheetId="6" r:id="rId8"/>
    <sheet name="DIRECTV" sheetId="7" r:id="rId9"/>
    <sheet name="PARAMOUNT" sheetId="8" r:id="rId10"/>
    <sheet name="SPOTIFY" sheetId="9" r:id="rId11"/>
    <sheet name="IPTV" sheetId="11" r:id="rId12"/>
    <sheet name="CRUNCHYROLL" sheetId="13" r:id="rId13"/>
    <sheet name="APPLE TV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N24" i="1"/>
  <c r="R24" i="1"/>
  <c r="M25" i="1"/>
  <c r="N25" i="1"/>
  <c r="R25" i="1"/>
  <c r="M26" i="1"/>
  <c r="N26" i="1"/>
  <c r="R26" i="1"/>
  <c r="M27" i="1"/>
  <c r="N27" i="1"/>
  <c r="R27" i="1"/>
  <c r="M28" i="1"/>
  <c r="N28" i="1"/>
  <c r="R28" i="1"/>
  <c r="M21" i="1"/>
  <c r="N21" i="1"/>
  <c r="R21" i="1"/>
  <c r="M22" i="1"/>
  <c r="N22" i="1"/>
  <c r="R22" i="1"/>
  <c r="M23" i="1"/>
  <c r="N23" i="1"/>
  <c r="R23" i="1"/>
  <c r="R19" i="1"/>
  <c r="N19" i="1"/>
  <c r="M19" i="1"/>
  <c r="R25" i="14"/>
  <c r="N25" i="14"/>
  <c r="M25" i="14"/>
  <c r="R24" i="14"/>
  <c r="N24" i="14"/>
  <c r="M24" i="14"/>
  <c r="R23" i="14"/>
  <c r="N23" i="14"/>
  <c r="M23" i="14"/>
  <c r="K21" i="14"/>
  <c r="R19" i="14"/>
  <c r="R16" i="14"/>
  <c r="R15" i="14"/>
  <c r="R14" i="14"/>
  <c r="R29" i="13"/>
  <c r="N29" i="13"/>
  <c r="M29" i="13"/>
  <c r="R28" i="13"/>
  <c r="N28" i="13"/>
  <c r="M28" i="13"/>
  <c r="R27" i="13"/>
  <c r="N27" i="13"/>
  <c r="M27" i="13"/>
  <c r="R26" i="13"/>
  <c r="N26" i="13"/>
  <c r="M26" i="13"/>
  <c r="R25" i="13"/>
  <c r="N25" i="13"/>
  <c r="M25" i="13"/>
  <c r="K23" i="13"/>
  <c r="R21" i="13"/>
  <c r="R18" i="13"/>
  <c r="R17" i="13"/>
  <c r="R16" i="13"/>
  <c r="R15" i="13"/>
  <c r="R14" i="13"/>
  <c r="R25" i="11"/>
  <c r="N25" i="11"/>
  <c r="M25" i="11"/>
  <c r="R24" i="11"/>
  <c r="N24" i="11"/>
  <c r="M24" i="11"/>
  <c r="R23" i="11"/>
  <c r="N23" i="11"/>
  <c r="M23" i="11"/>
  <c r="K21" i="11"/>
  <c r="R19" i="11"/>
  <c r="R15" i="11"/>
  <c r="R16" i="11"/>
  <c r="R14" i="11"/>
  <c r="R17" i="9"/>
  <c r="R14" i="9"/>
  <c r="R31" i="8"/>
  <c r="N31" i="8"/>
  <c r="M31" i="8"/>
  <c r="R30" i="8"/>
  <c r="N30" i="8"/>
  <c r="M30" i="8"/>
  <c r="R29" i="8"/>
  <c r="N29" i="8"/>
  <c r="M29" i="8"/>
  <c r="R28" i="8"/>
  <c r="N28" i="8"/>
  <c r="M28" i="8"/>
  <c r="R27" i="8"/>
  <c r="N27" i="8"/>
  <c r="M27" i="8"/>
  <c r="R26" i="8"/>
  <c r="N26" i="8"/>
  <c r="M26" i="8"/>
  <c r="K24" i="8"/>
  <c r="R22" i="8"/>
  <c r="R17" i="8"/>
  <c r="R18" i="8"/>
  <c r="R19" i="8"/>
  <c r="R16" i="8"/>
  <c r="R15" i="8"/>
  <c r="R14" i="8"/>
  <c r="R26" i="7"/>
  <c r="N26" i="7"/>
  <c r="M26" i="7"/>
  <c r="R23" i="7" l="1"/>
  <c r="N23" i="7"/>
  <c r="M23" i="7"/>
  <c r="R22" i="7"/>
  <c r="N22" i="7"/>
  <c r="M22" i="7"/>
  <c r="K20" i="7"/>
  <c r="R15" i="7"/>
  <c r="R18" i="7"/>
  <c r="R14" i="7"/>
  <c r="R20" i="6"/>
  <c r="R17" i="6"/>
  <c r="R14" i="6"/>
  <c r="R29" i="5"/>
  <c r="N29" i="5"/>
  <c r="M29" i="5"/>
  <c r="R28" i="5"/>
  <c r="N28" i="5"/>
  <c r="M28" i="5"/>
  <c r="R27" i="5"/>
  <c r="N27" i="5"/>
  <c r="M27" i="5"/>
  <c r="R26" i="5"/>
  <c r="N26" i="5"/>
  <c r="M26" i="5"/>
  <c r="R25" i="5"/>
  <c r="N25" i="5"/>
  <c r="M25" i="5"/>
  <c r="K23" i="5"/>
  <c r="R21" i="5"/>
  <c r="R18" i="5"/>
  <c r="R17" i="5"/>
  <c r="R16" i="5"/>
  <c r="R15" i="5"/>
  <c r="R14" i="5"/>
  <c r="R29" i="4"/>
  <c r="N29" i="4"/>
  <c r="M29" i="4"/>
  <c r="R28" i="4"/>
  <c r="N28" i="4"/>
  <c r="M28" i="4"/>
  <c r="R27" i="4"/>
  <c r="N27" i="4"/>
  <c r="M27" i="4"/>
  <c r="R26" i="4"/>
  <c r="N26" i="4"/>
  <c r="M26" i="4"/>
  <c r="R25" i="4"/>
  <c r="N25" i="4"/>
  <c r="M25" i="4"/>
  <c r="K23" i="4"/>
  <c r="R21" i="4"/>
  <c r="R18" i="4"/>
  <c r="R17" i="4"/>
  <c r="R16" i="4"/>
  <c r="R15" i="4"/>
  <c r="R14" i="4"/>
  <c r="R33" i="3"/>
  <c r="N33" i="3"/>
  <c r="M33" i="3"/>
  <c r="R32" i="3"/>
  <c r="N32" i="3"/>
  <c r="M32" i="3"/>
  <c r="R31" i="3"/>
  <c r="N31" i="3"/>
  <c r="M31" i="3"/>
  <c r="R30" i="3"/>
  <c r="N30" i="3"/>
  <c r="M30" i="3"/>
  <c r="R29" i="3"/>
  <c r="N29" i="3"/>
  <c r="M29" i="3"/>
  <c r="R28" i="3"/>
  <c r="N28" i="3"/>
  <c r="M28" i="3"/>
  <c r="R27" i="3"/>
  <c r="N27" i="3"/>
  <c r="M27" i="3"/>
  <c r="K25" i="3"/>
  <c r="R23" i="3"/>
  <c r="R20" i="3"/>
  <c r="R19" i="3"/>
  <c r="R18" i="3"/>
  <c r="R17" i="3"/>
  <c r="R16" i="3"/>
  <c r="R15" i="3"/>
  <c r="R14" i="3"/>
  <c r="R33" i="2"/>
  <c r="N33" i="2"/>
  <c r="M33" i="2"/>
  <c r="R32" i="2"/>
  <c r="N32" i="2"/>
  <c r="M32" i="2"/>
  <c r="R31" i="2"/>
  <c r="N31" i="2"/>
  <c r="M31" i="2"/>
  <c r="R30" i="2"/>
  <c r="N30" i="2"/>
  <c r="M30" i="2"/>
  <c r="R29" i="2"/>
  <c r="N29" i="2"/>
  <c r="M29" i="2"/>
  <c r="R28" i="2"/>
  <c r="N28" i="2"/>
  <c r="M28" i="2"/>
  <c r="R27" i="2"/>
  <c r="N27" i="2"/>
  <c r="M27" i="2"/>
  <c r="K25" i="2"/>
  <c r="R23" i="2"/>
  <c r="R20" i="2"/>
  <c r="R19" i="2"/>
  <c r="R18" i="2"/>
  <c r="R17" i="2"/>
  <c r="R16" i="2"/>
  <c r="R15" i="2"/>
  <c r="R14" i="2"/>
  <c r="R29" i="12"/>
  <c r="N29" i="12"/>
  <c r="M29" i="12"/>
  <c r="R28" i="12"/>
  <c r="N28" i="12"/>
  <c r="M28" i="12"/>
  <c r="R27" i="12"/>
  <c r="N27" i="12"/>
  <c r="M27" i="12"/>
  <c r="R26" i="12"/>
  <c r="N26" i="12"/>
  <c r="M26" i="12"/>
  <c r="R25" i="12"/>
  <c r="N25" i="12"/>
  <c r="M25" i="12"/>
  <c r="K23" i="12"/>
  <c r="R21" i="12"/>
  <c r="R18" i="12"/>
  <c r="R17" i="12"/>
  <c r="R16" i="12"/>
  <c r="R15" i="12"/>
  <c r="R14" i="12"/>
  <c r="R33" i="15"/>
  <c r="N33" i="15"/>
  <c r="M33" i="15"/>
  <c r="R32" i="15"/>
  <c r="N32" i="15"/>
  <c r="M32" i="15"/>
  <c r="R31" i="15"/>
  <c r="N31" i="15"/>
  <c r="M31" i="15"/>
  <c r="R30" i="15"/>
  <c r="N30" i="15"/>
  <c r="M30" i="15"/>
  <c r="R29" i="15"/>
  <c r="N29" i="15"/>
  <c r="M29" i="15"/>
  <c r="R28" i="15"/>
  <c r="N28" i="15"/>
  <c r="M28" i="15"/>
  <c r="R27" i="15"/>
  <c r="N27" i="15"/>
  <c r="M27" i="15"/>
  <c r="K25" i="15"/>
  <c r="R23" i="15"/>
  <c r="R18" i="15"/>
  <c r="R19" i="15"/>
  <c r="R20" i="15"/>
  <c r="R17" i="15"/>
  <c r="R16" i="15"/>
  <c r="R15" i="15"/>
  <c r="R14" i="15"/>
  <c r="R20" i="1"/>
  <c r="N20" i="1"/>
  <c r="M20" i="1"/>
  <c r="R14" i="1"/>
  <c r="L11" i="1"/>
  <c r="R18" i="1"/>
  <c r="R17" i="1"/>
  <c r="R16" i="1"/>
  <c r="R15" i="1"/>
  <c r="K12" i="1"/>
  <c r="K24" i="1" l="1"/>
  <c r="L24" i="1" s="1"/>
  <c r="K27" i="1"/>
  <c r="L27" i="1" s="1"/>
  <c r="K25" i="1"/>
  <c r="L25" i="1" s="1"/>
  <c r="K28" i="1"/>
  <c r="L28" i="1" s="1"/>
  <c r="K26" i="1"/>
  <c r="L26" i="1" s="1"/>
  <c r="K21" i="1"/>
  <c r="L21" i="1" s="1"/>
  <c r="K22" i="1"/>
  <c r="L22" i="1" s="1"/>
  <c r="K23" i="1"/>
  <c r="L23" i="1" s="1"/>
  <c r="K19" i="1"/>
  <c r="L19" i="1" s="1"/>
  <c r="K20" i="1"/>
  <c r="L20" i="1" s="1"/>
  <c r="M15" i="14" l="1"/>
  <c r="N15" i="14"/>
  <c r="M16" i="14"/>
  <c r="N16" i="14"/>
  <c r="M15" i="13"/>
  <c r="N15" i="13"/>
  <c r="M16" i="13"/>
  <c r="N16" i="13"/>
  <c r="M17" i="13"/>
  <c r="N17" i="13"/>
  <c r="M18" i="13"/>
  <c r="N18" i="13"/>
  <c r="M15" i="11"/>
  <c r="N15" i="11"/>
  <c r="M16" i="11"/>
  <c r="N16" i="11"/>
  <c r="M15" i="8"/>
  <c r="N15" i="8"/>
  <c r="M16" i="8"/>
  <c r="N16" i="8"/>
  <c r="M17" i="8"/>
  <c r="N17" i="8"/>
  <c r="M18" i="8"/>
  <c r="N18" i="8"/>
  <c r="M19" i="8"/>
  <c r="N19" i="8"/>
  <c r="M15" i="7"/>
  <c r="N15" i="7"/>
  <c r="M15" i="5"/>
  <c r="N15" i="5"/>
  <c r="M16" i="5"/>
  <c r="N16" i="5"/>
  <c r="M17" i="5"/>
  <c r="N17" i="5"/>
  <c r="M18" i="5"/>
  <c r="N18" i="5"/>
  <c r="M15" i="4"/>
  <c r="N15" i="4"/>
  <c r="M16" i="4"/>
  <c r="N16" i="4"/>
  <c r="M17" i="4"/>
  <c r="N17" i="4"/>
  <c r="M18" i="4"/>
  <c r="N18" i="4"/>
  <c r="M15" i="3"/>
  <c r="N15" i="3"/>
  <c r="M16" i="3"/>
  <c r="N16" i="3"/>
  <c r="M17" i="3"/>
  <c r="N17" i="3"/>
  <c r="M18" i="3"/>
  <c r="N18" i="3"/>
  <c r="M19" i="3"/>
  <c r="N19" i="3"/>
  <c r="M20" i="3"/>
  <c r="N20" i="3"/>
  <c r="M15" i="2"/>
  <c r="N15" i="2"/>
  <c r="M16" i="2"/>
  <c r="N16" i="2"/>
  <c r="M17" i="2"/>
  <c r="N17" i="2"/>
  <c r="M18" i="2"/>
  <c r="N18" i="2"/>
  <c r="M19" i="2"/>
  <c r="N19" i="2"/>
  <c r="M20" i="2"/>
  <c r="N20" i="2"/>
  <c r="M15" i="12"/>
  <c r="N15" i="12"/>
  <c r="M16" i="12"/>
  <c r="N16" i="12"/>
  <c r="M17" i="12"/>
  <c r="N17" i="12"/>
  <c r="M18" i="12"/>
  <c r="N18" i="12"/>
  <c r="M15" i="15"/>
  <c r="N15" i="15"/>
  <c r="M16" i="15"/>
  <c r="N16" i="15"/>
  <c r="M17" i="15"/>
  <c r="N17" i="15"/>
  <c r="M18" i="15"/>
  <c r="N18" i="15"/>
  <c r="M19" i="15"/>
  <c r="N19" i="15"/>
  <c r="M20" i="15"/>
  <c r="N20" i="15"/>
  <c r="M15" i="1"/>
  <c r="N15" i="1"/>
  <c r="M16" i="1"/>
  <c r="N16" i="1"/>
  <c r="M17" i="1"/>
  <c r="N17" i="1"/>
  <c r="M18" i="1"/>
  <c r="N18" i="1"/>
  <c r="N19" i="14"/>
  <c r="M19" i="14"/>
  <c r="N14" i="14"/>
  <c r="M14" i="14"/>
  <c r="N21" i="13"/>
  <c r="M21" i="13"/>
  <c r="N14" i="13"/>
  <c r="M14" i="13"/>
  <c r="N19" i="11"/>
  <c r="M19" i="11"/>
  <c r="N14" i="11"/>
  <c r="M14" i="11"/>
  <c r="N17" i="9"/>
  <c r="M17" i="9"/>
  <c r="N14" i="9"/>
  <c r="M14" i="9"/>
  <c r="N22" i="8"/>
  <c r="M22" i="8"/>
  <c r="M14" i="8"/>
  <c r="N14" i="8"/>
  <c r="N18" i="7"/>
  <c r="M18" i="7"/>
  <c r="N14" i="7"/>
  <c r="M14" i="7"/>
  <c r="N20" i="6"/>
  <c r="M20" i="6"/>
  <c r="N17" i="6"/>
  <c r="M17" i="6"/>
  <c r="M14" i="6"/>
  <c r="N14" i="6"/>
  <c r="N21" i="5"/>
  <c r="M21" i="5"/>
  <c r="N14" i="5"/>
  <c r="N14" i="1"/>
  <c r="M14" i="5"/>
  <c r="N14" i="4"/>
  <c r="N21" i="4"/>
  <c r="M21" i="4"/>
  <c r="M14" i="4"/>
  <c r="N23" i="3"/>
  <c r="M23" i="3"/>
  <c r="N14" i="3"/>
  <c r="M14" i="3"/>
  <c r="N23" i="2"/>
  <c r="M23" i="2"/>
  <c r="N14" i="2"/>
  <c r="M14" i="2"/>
  <c r="N21" i="12"/>
  <c r="M21" i="12"/>
  <c r="N14" i="12"/>
  <c r="M14" i="12"/>
  <c r="N23" i="15"/>
  <c r="M23" i="15"/>
  <c r="N14" i="15"/>
  <c r="M14" i="15"/>
  <c r="K12" i="15" l="1"/>
  <c r="L11" i="15"/>
  <c r="K12" i="14"/>
  <c r="L11" i="14"/>
  <c r="K12" i="13"/>
  <c r="L11" i="13"/>
  <c r="K12" i="12"/>
  <c r="L11" i="12"/>
  <c r="K12" i="11"/>
  <c r="L11" i="11"/>
  <c r="K12" i="9"/>
  <c r="K17" i="9" s="1"/>
  <c r="L17" i="9" s="1"/>
  <c r="L11" i="9"/>
  <c r="K12" i="8"/>
  <c r="L11" i="8"/>
  <c r="K12" i="7"/>
  <c r="K26" i="7" s="1"/>
  <c r="L26" i="7" s="1"/>
  <c r="L11" i="7"/>
  <c r="K12" i="6"/>
  <c r="L11" i="6"/>
  <c r="K12" i="5"/>
  <c r="L11" i="5"/>
  <c r="K12" i="4"/>
  <c r="L11" i="4"/>
  <c r="K12" i="3"/>
  <c r="L11" i="3"/>
  <c r="K16" i="14" l="1"/>
  <c r="L16" i="14" s="1"/>
  <c r="K25" i="14"/>
  <c r="L25" i="14" s="1"/>
  <c r="K24" i="14"/>
  <c r="L24" i="14" s="1"/>
  <c r="K23" i="14"/>
  <c r="L23" i="14" s="1"/>
  <c r="K16" i="13"/>
  <c r="L16" i="13" s="1"/>
  <c r="K29" i="13"/>
  <c r="L29" i="13" s="1"/>
  <c r="K25" i="13"/>
  <c r="L25" i="13" s="1"/>
  <c r="K28" i="13"/>
  <c r="L28" i="13" s="1"/>
  <c r="K27" i="13"/>
  <c r="L27" i="13" s="1"/>
  <c r="K26" i="13"/>
  <c r="L26" i="13" s="1"/>
  <c r="K14" i="11"/>
  <c r="L14" i="11" s="1"/>
  <c r="K25" i="11"/>
  <c r="L25" i="11" s="1"/>
  <c r="K24" i="11"/>
  <c r="L24" i="11" s="1"/>
  <c r="K23" i="11"/>
  <c r="L23" i="11" s="1"/>
  <c r="K19" i="8"/>
  <c r="L19" i="8" s="1"/>
  <c r="K31" i="8"/>
  <c r="L31" i="8" s="1"/>
  <c r="K27" i="8"/>
  <c r="L27" i="8" s="1"/>
  <c r="K30" i="8"/>
  <c r="L30" i="8" s="1"/>
  <c r="K26" i="8"/>
  <c r="L26" i="8" s="1"/>
  <c r="K29" i="8"/>
  <c r="L29" i="8" s="1"/>
  <c r="K28" i="8"/>
  <c r="L28" i="8" s="1"/>
  <c r="K18" i="7"/>
  <c r="L18" i="7" s="1"/>
  <c r="K23" i="7"/>
  <c r="L23" i="7" s="1"/>
  <c r="K22" i="7"/>
  <c r="L22" i="7" s="1"/>
  <c r="K16" i="5"/>
  <c r="L16" i="5" s="1"/>
  <c r="K29" i="5"/>
  <c r="L29" i="5" s="1"/>
  <c r="K25" i="5"/>
  <c r="L25" i="5" s="1"/>
  <c r="K28" i="5"/>
  <c r="L28" i="5" s="1"/>
  <c r="K27" i="5"/>
  <c r="L27" i="5" s="1"/>
  <c r="K26" i="5"/>
  <c r="L26" i="5" s="1"/>
  <c r="K18" i="4"/>
  <c r="L18" i="4" s="1"/>
  <c r="K29" i="4"/>
  <c r="L29" i="4" s="1"/>
  <c r="K25" i="4"/>
  <c r="L25" i="4" s="1"/>
  <c r="K28" i="4"/>
  <c r="L28" i="4" s="1"/>
  <c r="K27" i="4"/>
  <c r="L27" i="4" s="1"/>
  <c r="K26" i="4"/>
  <c r="L26" i="4" s="1"/>
  <c r="K18" i="3"/>
  <c r="L18" i="3" s="1"/>
  <c r="K33" i="3"/>
  <c r="L33" i="3" s="1"/>
  <c r="K29" i="3"/>
  <c r="L29" i="3" s="1"/>
  <c r="K32" i="3"/>
  <c r="L32" i="3" s="1"/>
  <c r="K28" i="3"/>
  <c r="L28" i="3" s="1"/>
  <c r="K31" i="3"/>
  <c r="L31" i="3" s="1"/>
  <c r="K27" i="3"/>
  <c r="L27" i="3" s="1"/>
  <c r="K30" i="3"/>
  <c r="L30" i="3" s="1"/>
  <c r="K18" i="12"/>
  <c r="L18" i="12" s="1"/>
  <c r="K28" i="12"/>
  <c r="L28" i="12" s="1"/>
  <c r="K29" i="12"/>
  <c r="L29" i="12" s="1"/>
  <c r="K25" i="12"/>
  <c r="L25" i="12" s="1"/>
  <c r="K27" i="12"/>
  <c r="L27" i="12" s="1"/>
  <c r="K26" i="12"/>
  <c r="L26" i="12" s="1"/>
  <c r="K19" i="15"/>
  <c r="L19" i="15" s="1"/>
  <c r="K33" i="15"/>
  <c r="L33" i="15" s="1"/>
  <c r="K29" i="15"/>
  <c r="L29" i="15" s="1"/>
  <c r="K32" i="15"/>
  <c r="L32" i="15" s="1"/>
  <c r="K28" i="15"/>
  <c r="L28" i="15" s="1"/>
  <c r="K31" i="15"/>
  <c r="L31" i="15" s="1"/>
  <c r="K27" i="15"/>
  <c r="L27" i="15" s="1"/>
  <c r="K30" i="15"/>
  <c r="L30" i="15" s="1"/>
  <c r="K17" i="6"/>
  <c r="L17" i="6" s="1"/>
  <c r="K20" i="6"/>
  <c r="L20" i="6" s="1"/>
  <c r="K14" i="15"/>
  <c r="L14" i="15" s="1"/>
  <c r="K18" i="15"/>
  <c r="L18" i="15" s="1"/>
  <c r="K17" i="15"/>
  <c r="L17" i="15" s="1"/>
  <c r="K23" i="15"/>
  <c r="L23" i="15" s="1"/>
  <c r="K16" i="15"/>
  <c r="L16" i="15" s="1"/>
  <c r="K20" i="15"/>
  <c r="L20" i="15" s="1"/>
  <c r="K15" i="15"/>
  <c r="L15" i="15" s="1"/>
  <c r="K19" i="14"/>
  <c r="L19" i="14" s="1"/>
  <c r="K21" i="13"/>
  <c r="L21" i="13" s="1"/>
  <c r="K22" i="8"/>
  <c r="L22" i="8" s="1"/>
  <c r="K21" i="5"/>
  <c r="L21" i="5" s="1"/>
  <c r="K21" i="4"/>
  <c r="L21" i="4" s="1"/>
  <c r="K23" i="3"/>
  <c r="L23" i="3" s="1"/>
  <c r="K21" i="12"/>
  <c r="L21" i="12" s="1"/>
  <c r="K15" i="14"/>
  <c r="L15" i="14" s="1"/>
  <c r="K14" i="14"/>
  <c r="L14" i="14" s="1"/>
  <c r="K15" i="13"/>
  <c r="L15" i="13" s="1"/>
  <c r="K14" i="13"/>
  <c r="L14" i="13" s="1"/>
  <c r="K18" i="13"/>
  <c r="L18" i="13" s="1"/>
  <c r="K17" i="13"/>
  <c r="L17" i="13" s="1"/>
  <c r="K14" i="12"/>
  <c r="L14" i="12" s="1"/>
  <c r="K15" i="12"/>
  <c r="L15" i="12" s="1"/>
  <c r="K16" i="12"/>
  <c r="L16" i="12" s="1"/>
  <c r="K17" i="12"/>
  <c r="L17" i="12" s="1"/>
  <c r="K19" i="11"/>
  <c r="L19" i="11" s="1"/>
  <c r="K16" i="11"/>
  <c r="L16" i="11" s="1"/>
  <c r="K15" i="11"/>
  <c r="L15" i="11" s="1"/>
  <c r="K14" i="9"/>
  <c r="L14" i="9" s="1"/>
  <c r="K15" i="7"/>
  <c r="L15" i="7" s="1"/>
  <c r="K14" i="7"/>
  <c r="L14" i="7" s="1"/>
  <c r="K14" i="8"/>
  <c r="L14" i="8" s="1"/>
  <c r="K15" i="8"/>
  <c r="L15" i="8" s="1"/>
  <c r="K16" i="8"/>
  <c r="L16" i="8" s="1"/>
  <c r="K17" i="8"/>
  <c r="L17" i="8" s="1"/>
  <c r="K18" i="8"/>
  <c r="L18" i="8" s="1"/>
  <c r="K14" i="6"/>
  <c r="L14" i="6" s="1"/>
  <c r="K15" i="5"/>
  <c r="L15" i="5" s="1"/>
  <c r="K18" i="5"/>
  <c r="L18" i="5" s="1"/>
  <c r="K17" i="5"/>
  <c r="L17" i="5" s="1"/>
  <c r="K14" i="5"/>
  <c r="L14" i="5" s="1"/>
  <c r="K17" i="4"/>
  <c r="L17" i="4" s="1"/>
  <c r="K16" i="4"/>
  <c r="L16" i="4" s="1"/>
  <c r="K15" i="4"/>
  <c r="L15" i="4" s="1"/>
  <c r="K14" i="4"/>
  <c r="L14" i="4" s="1"/>
  <c r="K20" i="3"/>
  <c r="L20" i="3" s="1"/>
  <c r="K17" i="3"/>
  <c r="L17" i="3" s="1"/>
  <c r="K16" i="3"/>
  <c r="L16" i="3" s="1"/>
  <c r="K15" i="3"/>
  <c r="L15" i="3" s="1"/>
  <c r="K19" i="3"/>
  <c r="L19" i="3" s="1"/>
  <c r="K14" i="3"/>
  <c r="L14" i="3" s="1"/>
  <c r="K12" i="2"/>
  <c r="L11" i="2"/>
  <c r="K23" i="2" l="1"/>
  <c r="L23" i="2" s="1"/>
  <c r="K33" i="2"/>
  <c r="L33" i="2" s="1"/>
  <c r="K29" i="2"/>
  <c r="L29" i="2" s="1"/>
  <c r="K32" i="2"/>
  <c r="L32" i="2" s="1"/>
  <c r="K28" i="2"/>
  <c r="L28" i="2" s="1"/>
  <c r="K31" i="2"/>
  <c r="L31" i="2" s="1"/>
  <c r="K27" i="2"/>
  <c r="L27" i="2" s="1"/>
  <c r="K30" i="2"/>
  <c r="L30" i="2" s="1"/>
  <c r="K19" i="2"/>
  <c r="L19" i="2" s="1"/>
  <c r="K20" i="2"/>
  <c r="L20" i="2" s="1"/>
  <c r="K18" i="2"/>
  <c r="L18" i="2" s="1"/>
  <c r="K17" i="2"/>
  <c r="L17" i="2" s="1"/>
  <c r="K14" i="2"/>
  <c r="L14" i="2" s="1"/>
  <c r="K16" i="2"/>
  <c r="L16" i="2" s="1"/>
  <c r="K15" i="2"/>
  <c r="L15" i="2" s="1"/>
  <c r="M14" i="1" l="1"/>
  <c r="K18" i="1" l="1"/>
  <c r="L18" i="1" s="1"/>
  <c r="K14" i="1"/>
  <c r="L14" i="1" s="1"/>
  <c r="K15" i="1"/>
  <c r="L15" i="1" s="1"/>
  <c r="K17" i="1"/>
  <c r="L17" i="1" s="1"/>
  <c r="K16" i="1"/>
  <c r="L16" i="1" s="1"/>
</calcChain>
</file>

<file path=xl/sharedStrings.xml><?xml version="1.0" encoding="utf-8"?>
<sst xmlns="http://schemas.openxmlformats.org/spreadsheetml/2006/main" count="913" uniqueCount="86">
  <si>
    <t>PERFIL</t>
  </si>
  <si>
    <t>CELULAR</t>
  </si>
  <si>
    <t>CORREO</t>
  </si>
  <si>
    <t>PAGO</t>
  </si>
  <si>
    <t>TERMINA</t>
  </si>
  <si>
    <t>DIAS</t>
  </si>
  <si>
    <t>COBRAR</t>
  </si>
  <si>
    <t>RTB</t>
  </si>
  <si>
    <t>PERFILES</t>
  </si>
  <si>
    <t>BOTONES</t>
  </si>
  <si>
    <t>PIN</t>
  </si>
  <si>
    <t>NOMBRE</t>
  </si>
  <si>
    <t>CLAVE</t>
  </si>
  <si>
    <t>Misael</t>
  </si>
  <si>
    <t>Misa</t>
  </si>
  <si>
    <t>PROOVEDOR</t>
  </si>
  <si>
    <t>combo.prueba@gmail.com</t>
  </si>
  <si>
    <t>30/9/23</t>
  </si>
  <si>
    <t>PAGÓ</t>
  </si>
  <si>
    <t>disney@gmail.com</t>
  </si>
  <si>
    <t>prueba@gmail.com</t>
  </si>
  <si>
    <t>MISA</t>
  </si>
  <si>
    <t>MISAEL</t>
  </si>
  <si>
    <t>STARPLUS@GMAIL.COM</t>
  </si>
  <si>
    <t>PRUEBA</t>
  </si>
  <si>
    <t>HBO@GMAIL.COM</t>
  </si>
  <si>
    <t>JAYDEN</t>
  </si>
  <si>
    <t>PRIME@GMAIL.COM</t>
  </si>
  <si>
    <t>00000</t>
  </si>
  <si>
    <t>PRUEBA@GMAIL.COM</t>
  </si>
  <si>
    <t>DIRECTV@GMAIL.COM</t>
  </si>
  <si>
    <t>PARAMOUNT@GMAIL.COM</t>
  </si>
  <si>
    <t>SPOTIFY@GMAIL.COM</t>
  </si>
  <si>
    <t>URL</t>
  </si>
  <si>
    <t>http://streamgo.vip:8008</t>
  </si>
  <si>
    <t>aaaPruevavipaa</t>
  </si>
  <si>
    <t>asdasdsaf</t>
  </si>
  <si>
    <t>vip</t>
  </si>
  <si>
    <t>aapruebavipsd</t>
  </si>
  <si>
    <t>sdasdsa</t>
  </si>
  <si>
    <t>CRUNCHY@GMAIL.COM</t>
  </si>
  <si>
    <t>APPLE@GMAIL.COM</t>
  </si>
  <si>
    <t>clarovideo@gmail.com</t>
  </si>
  <si>
    <t>claro@gmail.com</t>
  </si>
  <si>
    <t>30/8/23</t>
  </si>
  <si>
    <t>COSTÓ</t>
  </si>
  <si>
    <t xml:space="preserve">               DATOS  DE LA CUENTA</t>
  </si>
  <si>
    <t xml:space="preserve">             DATOS  DE LA CUENTA</t>
  </si>
  <si>
    <t>1111</t>
  </si>
  <si>
    <t>|</t>
  </si>
  <si>
    <t>VENDEDOR</t>
  </si>
  <si>
    <t>30/9/24</t>
  </si>
  <si>
    <t>LIGA 1</t>
  </si>
  <si>
    <t>USUARIO</t>
  </si>
  <si>
    <t>Adriana</t>
  </si>
  <si>
    <t>yeefong_0912@gmavea.com</t>
  </si>
  <si>
    <t>pitufo23</t>
  </si>
  <si>
    <t>09/04/2024</t>
  </si>
  <si>
    <t>enmanuel24</t>
  </si>
  <si>
    <t xml:space="preserve"> ricardosanuno@onlynett.com</t>
  </si>
  <si>
    <t>Andrea</t>
  </si>
  <si>
    <t>faid7070</t>
  </si>
  <si>
    <t>11/04/2024</t>
  </si>
  <si>
    <t>Saturnimo</t>
  </si>
  <si>
    <t>zarole2000@gmastk.vip</t>
  </si>
  <si>
    <t>cristian</t>
  </si>
  <si>
    <t>+51 937 160 701</t>
  </si>
  <si>
    <t>28/04/2024</t>
  </si>
  <si>
    <t>emanuel</t>
  </si>
  <si>
    <t>perfil 2</t>
  </si>
  <si>
    <t>charly</t>
  </si>
  <si>
    <t>51 954 931 852</t>
  </si>
  <si>
    <t>calikenyin@onlynett.com</t>
  </si>
  <si>
    <t>****</t>
  </si>
  <si>
    <t>51 918 482 644</t>
  </si>
  <si>
    <t>Renzo</t>
  </si>
  <si>
    <t>04/05/2024</t>
  </si>
  <si>
    <t>perfil2</t>
  </si>
  <si>
    <t xml:space="preserve"> </t>
  </si>
  <si>
    <t>Enzo</t>
  </si>
  <si>
    <t>08/05/2024</t>
  </si>
  <si>
    <t>ricardosanuno@onlynett.com</t>
  </si>
  <si>
    <t>51 955 269 239</t>
  </si>
  <si>
    <t xml:space="preserve">S/ 8.5 </t>
  </si>
  <si>
    <t>S/8. 5</t>
  </si>
  <si>
    <t>51 901 338 178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</si>
</sst>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#,##0;\-&quot;S/&quot;#,##0"/>
    <numFmt numFmtId="165" formatCode="&quot;S/&quot;#,##0.00"/>
    <numFmt numFmtId="166" formatCode="&quot;S/&quot;\ #,##0.00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masis MT Pro Black"/>
      <family val="1"/>
    </font>
    <font>
      <sz val="12"/>
      <color theme="1"/>
      <name val="Calibri"/>
      <family val="2"/>
      <scheme val="minor"/>
    </font>
    <font>
      <b/>
      <sz val="12"/>
      <color theme="1"/>
      <name val="Amasis MT Pro Black"/>
      <family val="1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slantDashDot">
        <color auto="1"/>
      </bottom>
      <diagonal/>
    </border>
    <border>
      <left/>
      <right/>
      <top style="medium">
        <color indexed="64"/>
      </top>
      <bottom style="slantDashDot">
        <color auto="1"/>
      </bottom>
      <diagonal/>
    </border>
    <border>
      <left/>
      <right style="medium">
        <color indexed="64"/>
      </right>
      <top style="medium">
        <color indexed="64"/>
      </top>
      <bottom style="slantDashDot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46">
    <xf numFmtId="0" fontId="0" fillId="0" borderId="0" xfId="0"/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66" fontId="7" fillId="4" borderId="6" xfId="0" applyNumberFormat="1" applyFont="1" applyFill="1" applyBorder="1" applyAlignment="1">
      <alignment horizontal="center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166" fontId="10" fillId="5" borderId="12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" fontId="10" fillId="5" borderId="13" xfId="1" applyNumberFormat="1" applyFont="1" applyFill="1" applyBorder="1" applyAlignment="1">
      <alignment horizontal="center" vertical="center"/>
    </xf>
    <xf numFmtId="0" fontId="10" fillId="5" borderId="13" xfId="1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166" fontId="10" fillId="5" borderId="13" xfId="1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166" fontId="10" fillId="5" borderId="13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4" xfId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66" fontId="10" fillId="5" borderId="14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166" fontId="10" fillId="5" borderId="6" xfId="0" applyNumberFormat="1" applyFont="1" applyFill="1" applyBorder="1" applyAlignment="1">
      <alignment horizontal="center" vertical="center"/>
    </xf>
    <xf numFmtId="14" fontId="10" fillId="5" borderId="8" xfId="0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166" fontId="7" fillId="8" borderId="6" xfId="0" applyNumberFormat="1" applyFont="1" applyFill="1" applyBorder="1" applyAlignment="1">
      <alignment horizontal="center" vertical="center"/>
    </xf>
    <xf numFmtId="14" fontId="7" fillId="8" borderId="6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12" fillId="2" borderId="0" xfId="1" applyNumberFormat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5" borderId="8" xfId="0" applyNumberFormat="1" applyFont="1" applyFill="1" applyBorder="1" applyAlignment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166" fontId="10" fillId="5" borderId="15" xfId="0" applyNumberFormat="1" applyFont="1" applyFill="1" applyBorder="1" applyAlignment="1">
      <alignment horizontal="center" vertical="center"/>
    </xf>
    <xf numFmtId="166" fontId="10" fillId="5" borderId="2" xfId="1" applyNumberFormat="1" applyFont="1" applyFill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vertical="center"/>
    </xf>
    <xf numFmtId="14" fontId="7" fillId="4" borderId="12" xfId="0" applyNumberFormat="1" applyFont="1" applyFill="1" applyBorder="1" applyAlignment="1">
      <alignment horizontal="center" vertical="center"/>
    </xf>
    <xf numFmtId="49" fontId="10" fillId="5" borderId="15" xfId="0" applyNumberFormat="1" applyFont="1" applyFill="1" applyBorder="1" applyAlignment="1">
      <alignment horizontal="center" vertical="center"/>
    </xf>
    <xf numFmtId="49" fontId="10" fillId="5" borderId="2" xfId="1" applyNumberFormat="1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center" vertical="center"/>
    </xf>
    <xf numFmtId="49" fontId="7" fillId="8" borderId="6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166" fontId="7" fillId="9" borderId="6" xfId="0" applyNumberFormat="1" applyFont="1" applyFill="1" applyBorder="1" applyAlignment="1">
      <alignment horizontal="center" vertical="center"/>
    </xf>
    <xf numFmtId="14" fontId="7" fillId="9" borderId="6" xfId="0" applyNumberFormat="1" applyFont="1" applyFill="1" applyBorder="1" applyAlignment="1">
      <alignment horizontal="center" vertical="center"/>
    </xf>
    <xf numFmtId="49" fontId="7" fillId="9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166" fontId="8" fillId="10" borderId="6" xfId="0" applyNumberFormat="1" applyFont="1" applyFill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49" fontId="10" fillId="5" borderId="12" xfId="0" applyNumberFormat="1" applyFont="1" applyFill="1" applyBorder="1" applyAlignment="1">
      <alignment horizontal="center" vertical="center"/>
    </xf>
    <xf numFmtId="49" fontId="10" fillId="5" borderId="13" xfId="1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/>
    </xf>
    <xf numFmtId="49" fontId="10" fillId="5" borderId="14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1" fontId="10" fillId="5" borderId="14" xfId="1" applyNumberFormat="1" applyFont="1" applyFill="1" applyBorder="1" applyAlignment="1">
      <alignment horizontal="center" vertical="center"/>
    </xf>
    <xf numFmtId="166" fontId="10" fillId="5" borderId="14" xfId="1" applyNumberFormat="1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166" fontId="8" fillId="14" borderId="6" xfId="0" applyNumberFormat="1" applyFont="1" applyFill="1" applyBorder="1" applyAlignment="1">
      <alignment horizontal="center" vertical="center"/>
    </xf>
    <xf numFmtId="14" fontId="8" fillId="14" borderId="6" xfId="0" applyNumberFormat="1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166" fontId="8" fillId="14" borderId="12" xfId="0" applyNumberFormat="1" applyFont="1" applyFill="1" applyBorder="1" applyAlignment="1">
      <alignment horizontal="center" vertical="center"/>
    </xf>
    <xf numFmtId="166" fontId="10" fillId="5" borderId="8" xfId="0" applyNumberFormat="1" applyFont="1" applyFill="1" applyBorder="1" applyAlignment="1">
      <alignment horizontal="center" vertical="center"/>
    </xf>
    <xf numFmtId="49" fontId="8" fillId="14" borderId="12" xfId="0" applyNumberFormat="1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166" fontId="7" fillId="12" borderId="6" xfId="0" applyNumberFormat="1" applyFont="1" applyFill="1" applyBorder="1" applyAlignment="1">
      <alignment horizontal="center" vertical="center"/>
    </xf>
    <xf numFmtId="14" fontId="7" fillId="12" borderId="6" xfId="0" applyNumberFormat="1" applyFont="1" applyFill="1" applyBorder="1" applyAlignment="1">
      <alignment horizontal="center" vertical="center"/>
    </xf>
    <xf numFmtId="49" fontId="7" fillId="12" borderId="6" xfId="0" applyNumberFormat="1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49" fontId="10" fillId="6" borderId="7" xfId="0" applyNumberFormat="1" applyFont="1" applyFill="1" applyBorder="1" applyAlignment="1">
      <alignment horizontal="center" vertical="center"/>
    </xf>
    <xf numFmtId="0" fontId="15" fillId="5" borderId="12" xfId="1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14" fillId="5" borderId="16" xfId="1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6" fillId="2" borderId="0" xfId="0" applyFont="1" applyFill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/>
    <xf numFmtId="166" fontId="12" fillId="2" borderId="0" xfId="1" applyNumberFormat="1" applyFont="1" applyFill="1" applyBorder="1" applyAlignment="1">
      <alignment horizontal="center" vertical="center"/>
    </xf>
    <xf numFmtId="166" fontId="5" fillId="2" borderId="0" xfId="0" applyNumberFormat="1" applyFont="1" applyFill="1"/>
    <xf numFmtId="14" fontId="5" fillId="2" borderId="0" xfId="0" applyNumberFormat="1" applyFont="1" applyFill="1"/>
    <xf numFmtId="166" fontId="5" fillId="0" borderId="0" xfId="0" applyNumberFormat="1" applyFont="1"/>
    <xf numFmtId="14" fontId="5" fillId="0" borderId="0" xfId="0" applyNumberFormat="1" applyFont="1"/>
    <xf numFmtId="0" fontId="7" fillId="9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49" fontId="10" fillId="5" borderId="14" xfId="1" applyNumberFormat="1" applyFont="1" applyFill="1" applyBorder="1" applyAlignment="1">
      <alignment horizontal="center" vertical="center"/>
    </xf>
    <xf numFmtId="49" fontId="3" fillId="5" borderId="12" xfId="1" applyNumberFormat="1" applyFont="1" applyFill="1" applyBorder="1" applyAlignment="1">
      <alignment horizontal="center" vertical="center"/>
    </xf>
    <xf numFmtId="49" fontId="10" fillId="5" borderId="6" xfId="1" applyNumberFormat="1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166" fontId="8" fillId="11" borderId="6" xfId="0" applyNumberFormat="1" applyFont="1" applyFill="1" applyBorder="1" applyAlignment="1">
      <alignment horizontal="center" vertical="center"/>
    </xf>
    <xf numFmtId="14" fontId="8" fillId="11" borderId="6" xfId="0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66" fontId="7" fillId="13" borderId="6" xfId="0" applyNumberFormat="1" applyFont="1" applyFill="1" applyBorder="1" applyAlignment="1">
      <alignment horizontal="center" vertical="center"/>
    </xf>
    <xf numFmtId="14" fontId="7" fillId="13" borderId="6" xfId="0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1" fillId="5" borderId="16" xfId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5" borderId="18" xfId="1" applyFont="1" applyFill="1" applyBorder="1" applyAlignment="1">
      <alignment horizontal="center" vertical="center"/>
    </xf>
    <xf numFmtId="166" fontId="10" fillId="5" borderId="12" xfId="1" applyNumberFormat="1" applyFont="1" applyFill="1" applyBorder="1" applyAlignment="1">
      <alignment horizontal="center" vertical="center"/>
    </xf>
    <xf numFmtId="166" fontId="10" fillId="5" borderId="6" xfId="1" applyNumberFormat="1" applyFont="1" applyFill="1" applyBorder="1" applyAlignment="1">
      <alignment horizontal="center" vertical="center"/>
    </xf>
    <xf numFmtId="49" fontId="10" fillId="5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14" fontId="7" fillId="8" borderId="12" xfId="0" applyNumberFormat="1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14" fontId="7" fillId="9" borderId="12" xfId="0" applyNumberFormat="1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14" fontId="8" fillId="10" borderId="12" xfId="0" applyNumberFormat="1" applyFont="1" applyFill="1" applyBorder="1" applyAlignment="1">
      <alignment horizontal="center" vertical="center"/>
    </xf>
    <xf numFmtId="0" fontId="10" fillId="5" borderId="22" xfId="1" applyFont="1" applyFill="1" applyBorder="1" applyAlignment="1">
      <alignment horizontal="center" vertical="center"/>
    </xf>
    <xf numFmtId="166" fontId="10" fillId="5" borderId="22" xfId="1" applyNumberFormat="1" applyFont="1" applyFill="1" applyBorder="1" applyAlignment="1">
      <alignment horizontal="center" vertical="center"/>
    </xf>
    <xf numFmtId="49" fontId="10" fillId="5" borderId="25" xfId="0" applyNumberFormat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/>
    </xf>
    <xf numFmtId="166" fontId="10" fillId="5" borderId="20" xfId="1" applyNumberFormat="1" applyFont="1" applyFill="1" applyBorder="1" applyAlignment="1">
      <alignment horizontal="center" vertical="center"/>
    </xf>
    <xf numFmtId="49" fontId="10" fillId="5" borderId="26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5" borderId="20" xfId="0" applyNumberFormat="1" applyFont="1" applyFill="1" applyBorder="1" applyAlignment="1">
      <alignment horizontal="center" vertical="center"/>
    </xf>
    <xf numFmtId="0" fontId="10" fillId="5" borderId="27" xfId="1" applyFont="1" applyFill="1" applyBorder="1" applyAlignment="1">
      <alignment horizontal="center" vertical="center"/>
    </xf>
    <xf numFmtId="166" fontId="10" fillId="5" borderId="28" xfId="1" applyNumberFormat="1" applyFont="1" applyFill="1" applyBorder="1" applyAlignment="1">
      <alignment horizontal="center" vertical="center"/>
    </xf>
    <xf numFmtId="49" fontId="10" fillId="5" borderId="27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5" fontId="11" fillId="2" borderId="0" xfId="1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/>
    </xf>
    <xf numFmtId="0" fontId="10" fillId="5" borderId="30" xfId="1" applyFont="1" applyFill="1" applyBorder="1" applyAlignment="1">
      <alignment horizontal="center" vertical="center"/>
    </xf>
    <xf numFmtId="166" fontId="10" fillId="5" borderId="27" xfId="1" applyNumberFormat="1" applyFont="1" applyFill="1" applyBorder="1" applyAlignment="1">
      <alignment horizontal="center" vertical="center"/>
    </xf>
    <xf numFmtId="49" fontId="10" fillId="5" borderId="29" xfId="0" applyNumberFormat="1" applyFont="1" applyFill="1" applyBorder="1" applyAlignment="1">
      <alignment horizontal="center" vertical="center"/>
    </xf>
    <xf numFmtId="49" fontId="10" fillId="5" borderId="28" xfId="0" applyNumberFormat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14" fontId="8" fillId="14" borderId="1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1" fillId="5" borderId="34" xfId="1" applyFill="1" applyBorder="1" applyAlignment="1">
      <alignment horizontal="center" vertical="center"/>
    </xf>
    <xf numFmtId="0" fontId="14" fillId="5" borderId="35" xfId="1" applyFont="1" applyFill="1" applyBorder="1" applyAlignment="1">
      <alignment horizontal="center" vertical="center"/>
    </xf>
    <xf numFmtId="0" fontId="14" fillId="5" borderId="36" xfId="1" applyFont="1" applyFill="1" applyBorder="1" applyAlignment="1">
      <alignment horizontal="center" vertical="center"/>
    </xf>
    <xf numFmtId="0" fontId="1" fillId="5" borderId="24" xfId="1" applyFill="1" applyBorder="1" applyAlignment="1">
      <alignment horizontal="center" vertical="center"/>
    </xf>
    <xf numFmtId="0" fontId="14" fillId="5" borderId="24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1" fillId="5" borderId="41" xfId="1" applyFill="1" applyBorder="1" applyAlignment="1">
      <alignment horizontal="center" vertical="center"/>
    </xf>
    <xf numFmtId="0" fontId="14" fillId="5" borderId="42" xfId="1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14" fontId="7" fillId="12" borderId="12" xfId="0" applyNumberFormat="1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17" fontId="10" fillId="5" borderId="12" xfId="0" applyNumberFormat="1" applyFont="1" applyFill="1" applyBorder="1" applyAlignment="1">
      <alignment horizontal="center" vertical="center"/>
    </xf>
    <xf numFmtId="0" fontId="1" fillId="5" borderId="12" xfId="1" applyFill="1" applyBorder="1" applyAlignment="1">
      <alignment horizontal="center" vertical="center"/>
    </xf>
    <xf numFmtId="0" fontId="1" fillId="5" borderId="13" xfId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14" fontId="8" fillId="7" borderId="15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4" fontId="8" fillId="7" borderId="17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6F3EB1E1-72D8-4708-B25B-BBAD8B7AD3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181443</xdr:colOff>
      <xdr:row>4</xdr:row>
      <xdr:rowOff>121546</xdr:rowOff>
    </xdr:from>
    <xdr:ext cx="7812661" cy="1304175"/>
    <xdr:pic>
      <xdr:nvPicPr>
        <xdr:cNvPr id="2" name="Imagen 3">
          <a:extLst>
            <a:ext uri="{FF2B5EF4-FFF2-40B4-BE49-F238E27FC236}">
              <a16:creationId xmlns:a16="http://schemas.microsoft.com/office/drawing/2014/main" id="{2490C100-E90E-4611-B785-211EB21BE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1" b="36923"/>
        <a:stretch/>
      </xdr:blipFill>
      <xdr:spPr>
        <a:xfrm>
          <a:off x="1700907" y="937975"/>
          <a:ext cx="7812661" cy="1304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62479</xdr:colOff>
      <xdr:row>1</xdr:row>
      <xdr:rowOff>181446</xdr:rowOff>
    </xdr:from>
    <xdr:to>
      <xdr:col>10</xdr:col>
      <xdr:colOff>240741</xdr:colOff>
      <xdr:row>11</xdr:row>
      <xdr:rowOff>50686</xdr:rowOff>
    </xdr:to>
    <xdr:pic>
      <xdr:nvPicPr>
        <xdr:cNvPr id="3" name="Imagen 2" descr="Combo+ | Logopedia | Fandom">
          <a:extLst>
            <a:ext uri="{FF2B5EF4-FFF2-40B4-BE49-F238E27FC236}">
              <a16:creationId xmlns:a16="http://schemas.microsoft.com/office/drawing/2014/main" id="{F86A8B71-2DD3-49C3-4EE1-7EC35A6F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759" y="380320"/>
          <a:ext cx="6939966" cy="1816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370818</xdr:colOff>
      <xdr:row>3</xdr:row>
      <xdr:rowOff>115024</xdr:rowOff>
    </xdr:from>
    <xdr:to>
      <xdr:col>10</xdr:col>
      <xdr:colOff>413378</xdr:colOff>
      <xdr:row>10</xdr:row>
      <xdr:rowOff>184259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1909DA-1FB2-410A-2CE8-E46C8BD7D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577" y="706231"/>
          <a:ext cx="7618767" cy="1426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389820</xdr:colOff>
      <xdr:row>0</xdr:row>
      <xdr:rowOff>180702</xdr:rowOff>
    </xdr:from>
    <xdr:to>
      <xdr:col>10</xdr:col>
      <xdr:colOff>319880</xdr:colOff>
      <xdr:row>11</xdr:row>
      <xdr:rowOff>102948</xdr:rowOff>
    </xdr:to>
    <xdr:pic>
      <xdr:nvPicPr>
        <xdr:cNvPr id="4" name="Imagen 3" descr="Disney+ Logo - PNG y Vector">
          <a:extLst>
            <a:ext uri="{FF2B5EF4-FFF2-40B4-BE49-F238E27FC236}">
              <a16:creationId xmlns:a16="http://schemas.microsoft.com/office/drawing/2014/main" id="{E60661D0-520E-3597-70B3-9DC43596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250" y="180702"/>
          <a:ext cx="7129188" cy="207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70184</xdr:colOff>
      <xdr:row>3</xdr:row>
      <xdr:rowOff>194235</xdr:rowOff>
    </xdr:from>
    <xdr:to>
      <xdr:col>11</xdr:col>
      <xdr:colOff>319343</xdr:colOff>
      <xdr:row>11</xdr:row>
      <xdr:rowOff>50131</xdr:rowOff>
    </xdr:to>
    <xdr:pic>
      <xdr:nvPicPr>
        <xdr:cNvPr id="3" name="Imagen 2" descr="Star+ Logo - PNG y Vector">
          <a:extLst>
            <a:ext uri="{FF2B5EF4-FFF2-40B4-BE49-F238E27FC236}">
              <a16:creationId xmlns:a16="http://schemas.microsoft.com/office/drawing/2014/main" id="{22FEF11A-4A92-343C-2F2F-F101F7F5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6184" y="795814"/>
          <a:ext cx="7387896" cy="1420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758234</xdr:colOff>
      <xdr:row>4</xdr:row>
      <xdr:rowOff>16392</xdr:rowOff>
    </xdr:from>
    <xdr:to>
      <xdr:col>11</xdr:col>
      <xdr:colOff>115955</xdr:colOff>
      <xdr:row>11</xdr:row>
      <xdr:rowOff>72877</xdr:rowOff>
    </xdr:to>
    <xdr:pic>
      <xdr:nvPicPr>
        <xdr:cNvPr id="4" name="Imagen 3" descr="Logotipo de HBO Max PNG transparente - StickPNG">
          <a:extLst>
            <a:ext uri="{FF2B5EF4-FFF2-40B4-BE49-F238E27FC236}">
              <a16:creationId xmlns:a16="http://schemas.microsoft.com/office/drawing/2014/main" id="{E3B2F36C-E643-8226-1565-4438F432E4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9" t="36126" r="349" b="37870"/>
        <a:stretch/>
      </xdr:blipFill>
      <xdr:spPr bwMode="auto">
        <a:xfrm>
          <a:off x="1522449" y="813834"/>
          <a:ext cx="8184959" cy="1407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533819</xdr:colOff>
      <xdr:row>2</xdr:row>
      <xdr:rowOff>62802</xdr:rowOff>
    </xdr:from>
    <xdr:to>
      <xdr:col>9</xdr:col>
      <xdr:colOff>429147</xdr:colOff>
      <xdr:row>11</xdr:row>
      <xdr:rowOff>129963</xdr:rowOff>
    </xdr:to>
    <xdr:pic>
      <xdr:nvPicPr>
        <xdr:cNvPr id="3" name="Imagen 2" descr="Prime Video Logo - PNG y Vector">
          <a:extLst>
            <a:ext uri="{FF2B5EF4-FFF2-40B4-BE49-F238E27FC236}">
              <a16:creationId xmlns:a16="http://schemas.microsoft.com/office/drawing/2014/main" id="{907E5FB0-330E-50C4-F3CD-43E8BA6905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5" t="32710" r="5686" b="37232"/>
        <a:stretch/>
      </xdr:blipFill>
      <xdr:spPr bwMode="auto">
        <a:xfrm>
          <a:off x="2690028" y="460549"/>
          <a:ext cx="5578927" cy="1815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590048</xdr:colOff>
      <xdr:row>3</xdr:row>
      <xdr:rowOff>34089</xdr:rowOff>
    </xdr:from>
    <xdr:to>
      <xdr:col>10</xdr:col>
      <xdr:colOff>18549</xdr:colOff>
      <xdr:row>11</xdr:row>
      <xdr:rowOff>62664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36BFE-15AD-D425-D296-FAC16D6F8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" t="11840" r="149" b="14912"/>
        <a:stretch/>
      </xdr:blipFill>
      <xdr:spPr bwMode="auto">
        <a:xfrm>
          <a:off x="2876048" y="635668"/>
          <a:ext cx="6396790" cy="159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18385</xdr:colOff>
      <xdr:row>1</xdr:row>
      <xdr:rowOff>164583</xdr:rowOff>
    </xdr:from>
    <xdr:to>
      <xdr:col>9</xdr:col>
      <xdr:colOff>288850</xdr:colOff>
      <xdr:row>11</xdr:row>
      <xdr:rowOff>123337</xdr:rowOff>
    </xdr:to>
    <xdr:pic>
      <xdr:nvPicPr>
        <xdr:cNvPr id="3" name="Imagen 2" descr="direc tv go Logo PNG Vector (CDR) Free Download">
          <a:extLst>
            <a:ext uri="{FF2B5EF4-FFF2-40B4-BE49-F238E27FC236}">
              <a16:creationId xmlns:a16="http://schemas.microsoft.com/office/drawing/2014/main" id="{0A13EF26-8096-BC81-8A2D-A9C81FC9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5565" y="363943"/>
          <a:ext cx="5487064" cy="190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257062</xdr:colOff>
      <xdr:row>2</xdr:row>
      <xdr:rowOff>181427</xdr:rowOff>
    </xdr:from>
    <xdr:to>
      <xdr:col>10</xdr:col>
      <xdr:colOff>628028</xdr:colOff>
      <xdr:row>11</xdr:row>
      <xdr:rowOff>44676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6DD12-A48E-2C42-4C2A-0EA6C180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62" y="581477"/>
          <a:ext cx="7156310" cy="162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241298</xdr:colOff>
      <xdr:row>2</xdr:row>
      <xdr:rowOff>18792</xdr:rowOff>
    </xdr:from>
    <xdr:to>
      <xdr:col>10</xdr:col>
      <xdr:colOff>728133</xdr:colOff>
      <xdr:row>11</xdr:row>
      <xdr:rowOff>121709</xdr:rowOff>
    </xdr:to>
    <xdr:pic>
      <xdr:nvPicPr>
        <xdr:cNvPr id="3" name="Imagen 2" descr="Logo and Brand Assets — Spotify">
          <a:extLst>
            <a:ext uri="{FF2B5EF4-FFF2-40B4-BE49-F238E27FC236}">
              <a16:creationId xmlns:a16="http://schemas.microsoft.com/office/drawing/2014/main" id="{A03279A6-0FE3-7870-96BD-3088663E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7298" y="420959"/>
          <a:ext cx="7609418" cy="1870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442355</xdr:colOff>
      <xdr:row>2</xdr:row>
      <xdr:rowOff>122837</xdr:rowOff>
    </xdr:from>
    <xdr:to>
      <xdr:col>9</xdr:col>
      <xdr:colOff>555789</xdr:colOff>
      <xdr:row>11</xdr:row>
      <xdr:rowOff>126414</xdr:rowOff>
    </xdr:to>
    <xdr:pic>
      <xdr:nvPicPr>
        <xdr:cNvPr id="3" name="Imagen 2" descr="IPTV Smarters App is a fabulous video streaming player">
          <a:extLst>
            <a:ext uri="{FF2B5EF4-FFF2-40B4-BE49-F238E27FC236}">
              <a16:creationId xmlns:a16="http://schemas.microsoft.com/office/drawing/2014/main" id="{54EA5978-476F-4A55-ACAB-3891FFAC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199" y="518681"/>
          <a:ext cx="6669603" cy="1760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46718</xdr:colOff>
      <xdr:row>6</xdr:row>
      <xdr:rowOff>38101</xdr:rowOff>
    </xdr:from>
    <xdr:to>
      <xdr:col>9</xdr:col>
      <xdr:colOff>669064</xdr:colOff>
      <xdr:row>11</xdr:row>
      <xdr:rowOff>123826</xdr:rowOff>
    </xdr:to>
    <xdr:pic>
      <xdr:nvPicPr>
        <xdr:cNvPr id="3" name="Imagen 2" descr="Crunchyroll Logo - PNG y Vector">
          <a:extLst>
            <a:ext uri="{FF2B5EF4-FFF2-40B4-BE49-F238E27FC236}">
              <a16:creationId xmlns:a16="http://schemas.microsoft.com/office/drawing/2014/main" id="{5974BB9C-852D-C16B-37A6-F6139BD8D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0" t="42632" r="10277" b="41862"/>
        <a:stretch/>
      </xdr:blipFill>
      <xdr:spPr bwMode="auto">
        <a:xfrm>
          <a:off x="2235200" y="1262744"/>
          <a:ext cx="6291989" cy="106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380335</xdr:colOff>
      <xdr:row>4</xdr:row>
      <xdr:rowOff>70937</xdr:rowOff>
    </xdr:from>
    <xdr:to>
      <xdr:col>9</xdr:col>
      <xdr:colOff>897121</xdr:colOff>
      <xdr:row>10</xdr:row>
      <xdr:rowOff>196478</xdr:rowOff>
    </xdr:to>
    <xdr:pic>
      <xdr:nvPicPr>
        <xdr:cNvPr id="3" name="Imagen 2" descr="Apple TV logo - símbolo, significado logotipo, historia, PNG">
          <a:extLst>
            <a:ext uri="{FF2B5EF4-FFF2-40B4-BE49-F238E27FC236}">
              <a16:creationId xmlns:a16="http://schemas.microsoft.com/office/drawing/2014/main" id="{88AB941F-6012-EA97-8627-710D05F9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7602" y="868379"/>
          <a:ext cx="6431147" cy="1277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icardosanuno@onlynett.com" TargetMode="External"/><Relationship Id="rId1" Type="http://schemas.openxmlformats.org/officeDocument/2006/relationships/hyperlink" Target="mailto:yeefong_0912@gmavea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combo.prueb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claro@gmail.com" TargetMode="External"/><Relationship Id="rId1" Type="http://schemas.openxmlformats.org/officeDocument/2006/relationships/hyperlink" Target="mailto:clarovide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prueba@gmail.com" TargetMode="External"/><Relationship Id="rId1" Type="http://schemas.openxmlformats.org/officeDocument/2006/relationships/hyperlink" Target="mailto:disney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STARPLUS@GMAIL.COM" TargetMode="External"/><Relationship Id="rId1" Type="http://schemas.openxmlformats.org/officeDocument/2006/relationships/hyperlink" Target="mailto:STARPLUS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HBO@GMAIL.COM" TargetMode="External"/><Relationship Id="rId1" Type="http://schemas.openxmlformats.org/officeDocument/2006/relationships/hyperlink" Target="mailto:HBO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ailto:PRUEBA@GMAIL.COM" TargetMode="External"/><Relationship Id="rId1" Type="http://schemas.openxmlformats.org/officeDocument/2006/relationships/hyperlink" Target="mailto:PRIME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PRUEBA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mailto:DIRECTV@GMAIL.COM" TargetMode="External"/><Relationship Id="rId1" Type="http://schemas.openxmlformats.org/officeDocument/2006/relationships/hyperlink" Target="mailto:DIRECTV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PARAMOUNT@GMAIL.COM" TargetMode="External"/><Relationship Id="rId1" Type="http://schemas.openxmlformats.org/officeDocument/2006/relationships/hyperlink" Target="mailto:PARAMOUNT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SPOTIFY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2.xml"/><Relationship Id="rId3" Type="http://schemas.openxmlformats.org/officeDocument/2006/relationships/hyperlink" Target="http://streamgo.vip:8008/" TargetMode="External"/><Relationship Id="rId7" Type="http://schemas.openxmlformats.org/officeDocument/2006/relationships/hyperlink" Target="http://streamgo.vip:8008/" TargetMode="External"/><Relationship Id="rId2" Type="http://schemas.openxmlformats.org/officeDocument/2006/relationships/hyperlink" Target="http://streamgo.vip:8008/" TargetMode="External"/><Relationship Id="rId1" Type="http://schemas.openxmlformats.org/officeDocument/2006/relationships/hyperlink" Target="http://streamgo.vip:8008/" TargetMode="External"/><Relationship Id="rId6" Type="http://schemas.openxmlformats.org/officeDocument/2006/relationships/hyperlink" Target="http://streamgo.vip:8008/" TargetMode="External"/><Relationship Id="rId5" Type="http://schemas.openxmlformats.org/officeDocument/2006/relationships/hyperlink" Target="http://streamgo.vip:8008/" TargetMode="External"/><Relationship Id="rId4" Type="http://schemas.openxmlformats.org/officeDocument/2006/relationships/hyperlink" Target="http://streamgo.vip:8008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mailto:CRUNCHY@GMAIL.COM" TargetMode="External"/><Relationship Id="rId1" Type="http://schemas.openxmlformats.org/officeDocument/2006/relationships/hyperlink" Target="mailto:CRUNCHY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hyperlink" Target="mailto:APPLE@GMAIL.COM" TargetMode="External"/><Relationship Id="rId1" Type="http://schemas.openxmlformats.org/officeDocument/2006/relationships/hyperlink" Target="mailto:AP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A07B-6E40-413E-B8B6-95E30F27F874}">
  <sheetPr>
    <tabColor rgb="FFFF0000"/>
  </sheetPr>
  <dimension ref="A1:AD404"/>
  <sheetViews>
    <sheetView tabSelected="1" topLeftCell="A9" zoomScale="85" zoomScaleNormal="85" workbookViewId="0">
      <selection activeCell="J21" sqref="J21"/>
    </sheetView>
  </sheetViews>
  <sheetFormatPr baseColWidth="10" defaultRowHeight="15.75" x14ac:dyDescent="0.25"/>
  <cols>
    <col min="1" max="2" width="11.42578125" style="106"/>
    <col min="3" max="3" width="10.42578125" style="106" customWidth="1"/>
    <col min="4" max="4" width="12.42578125" style="106" customWidth="1"/>
    <col min="5" max="5" width="15.5703125" style="106" customWidth="1"/>
    <col min="6" max="6" width="8.42578125" style="106" customWidth="1"/>
    <col min="7" max="7" width="29.85546875" style="106" customWidth="1"/>
    <col min="8" max="8" width="14.140625" style="106" customWidth="1"/>
    <col min="9" max="9" width="9.5703125" style="115" customWidth="1"/>
    <col min="10" max="10" width="11.28515625" style="116" customWidth="1"/>
    <col min="11" max="11" width="10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" style="106" customWidth="1"/>
    <col min="16" max="16" width="11.42578125" style="106"/>
    <col min="17" max="17" width="11.85546875" style="106" bestFit="1" customWidth="1"/>
    <col min="18" max="18" width="9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1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1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1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"/>
      <c r="G5" s="1"/>
      <c r="H5" s="1"/>
      <c r="I5" s="2"/>
      <c r="J5" s="3"/>
      <c r="K5" s="1"/>
      <c r="L5" s="1"/>
      <c r="M5" s="1"/>
      <c r="N5" s="1"/>
      <c r="O5" s="1"/>
      <c r="P5" s="1"/>
      <c r="Q5" s="1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3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1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"/>
      <c r="G7" s="106"/>
      <c r="H7" s="1"/>
      <c r="I7" s="2"/>
      <c r="J7" s="3"/>
      <c r="K7" s="1"/>
      <c r="L7" s="1"/>
      <c r="M7" s="1"/>
      <c r="N7" s="1"/>
      <c r="O7" s="1"/>
      <c r="P7" s="1"/>
      <c r="Q7" s="1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6"/>
      <c r="F8" s="1"/>
      <c r="G8" s="1"/>
      <c r="H8" s="1"/>
      <c r="I8" s="2"/>
      <c r="J8" s="3"/>
      <c r="K8" s="1"/>
      <c r="O8" s="1"/>
      <c r="P8" s="1"/>
      <c r="Q8" s="1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1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2" t="str">
        <f>"GANANCIAS: "&amp;SUM(I14:I866)</f>
        <v>GANANCIAS: 68</v>
      </c>
      <c r="M11" s="233"/>
      <c r="N11" s="23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1"/>
      <c r="O12" s="118"/>
      <c r="P12" s="133" t="s">
        <v>46</v>
      </c>
      <c r="Q12" s="133"/>
      <c r="R12" s="13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9" t="s">
        <v>0</v>
      </c>
      <c r="D13" s="9" t="s">
        <v>11</v>
      </c>
      <c r="E13" s="9" t="s">
        <v>1</v>
      </c>
      <c r="F13" s="9" t="s">
        <v>10</v>
      </c>
      <c r="G13" s="9" t="s">
        <v>2</v>
      </c>
      <c r="H13" s="10" t="s">
        <v>12</v>
      </c>
      <c r="I13" s="11" t="s">
        <v>18</v>
      </c>
      <c r="J13" s="57" t="s">
        <v>4</v>
      </c>
      <c r="K13" s="118" t="s">
        <v>5</v>
      </c>
      <c r="L13" s="95" t="s">
        <v>6</v>
      </c>
      <c r="M13" s="95" t="s">
        <v>7</v>
      </c>
      <c r="N13" s="132" t="s">
        <v>8</v>
      </c>
      <c r="O13" s="135" t="s">
        <v>15</v>
      </c>
      <c r="P13" s="136" t="s">
        <v>45</v>
      </c>
      <c r="Q13" s="57" t="s">
        <v>4</v>
      </c>
      <c r="R13" s="137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223">
        <v>37438</v>
      </c>
      <c r="D14" s="14" t="s">
        <v>54</v>
      </c>
      <c r="E14" s="13" t="s">
        <v>85</v>
      </c>
      <c r="F14" s="13">
        <v>1593</v>
      </c>
      <c r="G14" s="224" t="s">
        <v>55</v>
      </c>
      <c r="H14" s="16" t="s">
        <v>58</v>
      </c>
      <c r="I14" s="54">
        <v>10</v>
      </c>
      <c r="J14" s="58" t="s">
        <v>57</v>
      </c>
      <c r="K14" s="18">
        <f ca="1">J14-K$12</f>
        <v>-1</v>
      </c>
      <c r="L14" s="101" t="str">
        <f ca="1">HYPERLINK("https://api.whatsapp.com/send?phone="&amp;E14&amp;"&amp;text="&amp;(IF(K14&lt;=0,"🚨 Hola, *"&amp;D14&amp;".*"&amp;"%0A"&amp;"Su cuenta de Netflix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*Netflix Premium*")),"💰")</f>
        <v>💰</v>
      </c>
      <c r="M14" s="101" t="str">
        <f>HYPERLINK("https://api.whatsapp.com/send?phone="&amp;E14&amp;"&amp;text=*🔴 CAMBIO DE CONTRASEÑA*"&amp;"%0A"&amp;"%0A"&amp;"💻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NETFLIX ULTRA HD*"&amp;"%0A"&amp;"%0A"&amp;"*📧 Correo:* "&amp;G14&amp;"%0A"&amp;"*🔑 Contraseña:* "&amp;H14&amp;"%0A"&amp;"%0A"&amp;"*🖥 Perfil:* "&amp;D14&amp;" - "&amp;PRIME!F14&amp;"%0A"&amp;"%0A"&amp;"*📍 Vence:* "&amp;J14,"💻")</f>
        <v>💻</v>
      </c>
      <c r="O14" s="15" t="s">
        <v>68</v>
      </c>
      <c r="P14" s="141" t="s">
        <v>84</v>
      </c>
      <c r="Q14" s="58" t="s">
        <v>57</v>
      </c>
      <c r="R14" s="138">
        <f t="shared" ref="R14:R28" ca="1" si="0">Q14-TODAY()</f>
        <v>-1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 t="s">
        <v>60</v>
      </c>
      <c r="D15" s="20" t="s">
        <v>60</v>
      </c>
      <c r="E15" s="19" t="s">
        <v>73</v>
      </c>
      <c r="F15" s="21">
        <v>121212</v>
      </c>
      <c r="G15" s="22" t="s">
        <v>59</v>
      </c>
      <c r="H15" s="23" t="s">
        <v>61</v>
      </c>
      <c r="I15" s="55">
        <v>10</v>
      </c>
      <c r="J15" s="59" t="s">
        <v>62</v>
      </c>
      <c r="K15" s="25">
        <f ca="1">J15-K$12</f>
        <v>1</v>
      </c>
      <c r="L15" s="101" t="str">
        <f t="shared" ref="L15:L18" ca="1" si="1">HYPERLINK("https://api.whatsapp.com/send?phone="&amp;E15&amp;"&amp;text="&amp;(IF(K15&lt;=0,"🚨 Hola, *"&amp;D15&amp;".*"&amp;"%0A"&amp;"Su cuenta de Netflix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*Netflix Premium*")),"💰")</f>
        <v>💰</v>
      </c>
      <c r="M15" s="101" t="str">
        <f t="shared" ref="M15:M18" si="2">HYPERLINK("https://api.whatsapp.com/send?phone="&amp;E15&amp;"&amp;text=*🔴 CAMBIO DE CONTRASEÑA*"&amp;"%0A"&amp;"%0A"&amp;"💻 Correo: *"&amp;G15&amp;"*"&amp;"%0A"&amp;"🔐 Nueva Contraseña: *"&amp;H15&amp;"*","🔐")</f>
        <v>🔐</v>
      </c>
      <c r="N15" s="101" t="str">
        <f>HYPERLINK("https://api.whatsapp.com/send?phone=51"&amp;E15&amp;"&amp;text=*🔴 NETFLIX ULTRA HD*"&amp;"%0A"&amp;"%0A"&amp;"*📧 Correo:* "&amp;G15&amp;"%0A"&amp;"*🔑 Contraseña:* "&amp;H15&amp;"%0A"&amp;"%0A"&amp;"*🖥 Perfil:* "&amp;D15&amp;" - "&amp;PRIME!F15&amp;"%0A"&amp;"%0A"&amp;"*📍 Vence:* "&amp;J15,"💻")</f>
        <v>💻</v>
      </c>
      <c r="O15" s="22" t="s">
        <v>63</v>
      </c>
      <c r="P15" s="24">
        <v>8</v>
      </c>
      <c r="Q15" s="59" t="s">
        <v>62</v>
      </c>
      <c r="R15" s="138">
        <f t="shared" ca="1" si="0"/>
        <v>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 t="s">
        <v>65</v>
      </c>
      <c r="D16" s="20" t="s">
        <v>65</v>
      </c>
      <c r="E16" s="19" t="s">
        <v>66</v>
      </c>
      <c r="F16" s="21">
        <v>1996</v>
      </c>
      <c r="G16" s="22" t="s">
        <v>64</v>
      </c>
      <c r="H16" s="23" t="s">
        <v>56</v>
      </c>
      <c r="I16" s="56">
        <v>12</v>
      </c>
      <c r="J16" s="52" t="s">
        <v>67</v>
      </c>
      <c r="K16" s="25">
        <f t="shared" ref="K16:K17" ca="1" si="3">J16-K$12</f>
        <v>18</v>
      </c>
      <c r="L16" s="101" t="str">
        <f t="shared" ca="1" si="1"/>
        <v>💰</v>
      </c>
      <c r="M16" s="101" t="str">
        <f t="shared" si="2"/>
        <v>🔐</v>
      </c>
      <c r="N16" s="101" t="str">
        <f>HYPERLINK("https://api.whatsapp.com/send?phone=51"&amp;E16&amp;"&amp;text=*🔴 NETFLIX ULTRA HD*"&amp;"%0A"&amp;"%0A"&amp;"*📧 Correo:* "&amp;G16&amp;"%0A"&amp;"*🔑 Contraseña:* "&amp;H16&amp;"%0A"&amp;"%0A"&amp;"*🖥 Perfil:* "&amp;D16&amp;" - "&amp;PRIME!F16&amp;"%0A"&amp;"%0A"&amp;"*📍 Vence:* "&amp;J16,"💻")</f>
        <v>💻</v>
      </c>
      <c r="O16" s="22" t="s">
        <v>68</v>
      </c>
      <c r="P16" s="24" t="s">
        <v>83</v>
      </c>
      <c r="Q16" s="52" t="s">
        <v>67</v>
      </c>
      <c r="R16" s="138">
        <f t="shared" ca="1" si="0"/>
        <v>18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 t="s">
        <v>69</v>
      </c>
      <c r="D17" s="20" t="s">
        <v>70</v>
      </c>
      <c r="E17" s="19" t="s">
        <v>71</v>
      </c>
      <c r="F17" s="19" t="s">
        <v>73</v>
      </c>
      <c r="G17" s="22" t="s">
        <v>72</v>
      </c>
      <c r="H17" s="23" t="s">
        <v>61</v>
      </c>
      <c r="I17" s="56">
        <v>12</v>
      </c>
      <c r="J17" s="52" t="s">
        <v>67</v>
      </c>
      <c r="K17" s="25">
        <f t="shared" ca="1" si="3"/>
        <v>18</v>
      </c>
      <c r="L17" s="101" t="str">
        <f t="shared" ca="1" si="1"/>
        <v>💰</v>
      </c>
      <c r="M17" s="101" t="str">
        <f t="shared" si="2"/>
        <v>🔐</v>
      </c>
      <c r="N17" s="101" t="str">
        <f>HYPERLINK("https://api.whatsapp.com/send?phone=51"&amp;E17&amp;"&amp;text=*🔴 NETFLIX ULTRA HD*"&amp;"%0A"&amp;"%0A"&amp;"*📧 Correo:* "&amp;G17&amp;"%0A"&amp;"*🔑 Contraseña:* "&amp;H17&amp;"%0A"&amp;"%0A"&amp;"*🖥 Perfil:* "&amp;D17&amp;" - "&amp;PRIME!F17&amp;"%0A"&amp;"%0A"&amp;"*📍 Vence:* "&amp;J17,"💻")</f>
        <v>💻</v>
      </c>
      <c r="O17" s="22" t="s">
        <v>63</v>
      </c>
      <c r="P17" s="24">
        <v>8</v>
      </c>
      <c r="Q17" s="52" t="s">
        <v>67</v>
      </c>
      <c r="R17" s="138">
        <f t="shared" ca="1" si="0"/>
        <v>18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9" t="s">
        <v>75</v>
      </c>
      <c r="D18" s="20" t="s">
        <v>75</v>
      </c>
      <c r="E18" s="19" t="s">
        <v>74</v>
      </c>
      <c r="F18" s="19" t="s">
        <v>73</v>
      </c>
      <c r="G18" s="22" t="s">
        <v>72</v>
      </c>
      <c r="H18" s="23" t="s">
        <v>61</v>
      </c>
      <c r="I18" s="56">
        <v>12</v>
      </c>
      <c r="J18" s="52" t="s">
        <v>76</v>
      </c>
      <c r="K18" s="25">
        <f t="shared" ref="K18:K28" ca="1" si="4">J18-K$12</f>
        <v>24</v>
      </c>
      <c r="L18" s="101" t="str">
        <f t="shared" ca="1" si="1"/>
        <v>💰</v>
      </c>
      <c r="M18" s="101" t="str">
        <f t="shared" si="2"/>
        <v>🔐</v>
      </c>
      <c r="N18" s="101" t="str">
        <f>HYPERLINK("https://api.whatsapp.com/send?phone=51"&amp;E18&amp;"&amp;text=*🔴 NETFLIX ULTRA HD*"&amp;"%0A"&amp;"%0A"&amp;"*📧 Correo:* "&amp;G18&amp;"%0A"&amp;"*🔑 Contraseña:* "&amp;H18&amp;"%0A"&amp;"%0A"&amp;"*🖥 Perfil:* "&amp;D18&amp;" - "&amp;PRIME!F18&amp;"%0A"&amp;"%0A"&amp;"*📍 Vence:* "&amp;J18,"💻")</f>
        <v>💻</v>
      </c>
      <c r="O18" s="22" t="s">
        <v>63</v>
      </c>
      <c r="P18" s="24">
        <v>8</v>
      </c>
      <c r="Q18" s="52" t="s">
        <v>76</v>
      </c>
      <c r="R18" s="138">
        <f t="shared" ca="1" si="0"/>
        <v>24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x14ac:dyDescent="0.25">
      <c r="A19" s="1"/>
      <c r="B19" s="1" t="s">
        <v>78</v>
      </c>
      <c r="C19" s="19" t="s">
        <v>77</v>
      </c>
      <c r="D19" s="20" t="s">
        <v>79</v>
      </c>
      <c r="E19" s="19" t="s">
        <v>82</v>
      </c>
      <c r="F19" s="21" t="s">
        <v>73</v>
      </c>
      <c r="G19" s="225" t="s">
        <v>81</v>
      </c>
      <c r="H19" s="23" t="s">
        <v>61</v>
      </c>
      <c r="I19" s="55">
        <v>12</v>
      </c>
      <c r="J19" s="59" t="s">
        <v>80</v>
      </c>
      <c r="K19" s="25">
        <f t="shared" ca="1" si="4"/>
        <v>28</v>
      </c>
      <c r="L19" s="101" t="str">
        <f t="shared" ref="L19:L28" ca="1" si="5">HYPERLINK("https://api.whatsapp.com/send?phone="&amp;E19&amp;"&amp;text="&amp;(IF(K19&lt;=0,"🚨 Hola, *"&amp;D19&amp;".*"&amp;"%0A"&amp;"Su cuenta de Netflix vencio, Porfavor renueve si aun desea el servicio."&amp;"%0A"&amp;"*Tiene todo el dia para realizar el pago de lo contrario al dia siguiente sera suspendida*"&amp;"%0A"&amp;"*GRACIAS*","*MENSAJE RECORDATORIO 🚨*"&amp;"%0A"&amp;"%0A"&amp;"Hola, "&amp;D19&amp;"."&amp;"%0A"&amp;"Te quedan "&amp;K19&amp;" Dias restantes para renovar su cuenta de *Netflix Premium*")),"💰")</f>
        <v>💰</v>
      </c>
      <c r="M19" s="101" t="str">
        <f t="shared" ref="M19:M28" si="6">HYPERLINK("https://api.whatsapp.com/send?phone="&amp;E19&amp;"&amp;text=*🔴 CAMBIO DE CONTRASEÑA*"&amp;"%0A"&amp;"%0A"&amp;"💻 Correo: *"&amp;G19&amp;"*"&amp;"%0A"&amp;"🔐 Nueva Contraseña: *"&amp;H19&amp;"*","🔐")</f>
        <v>🔐</v>
      </c>
      <c r="N19" s="101" t="str">
        <f>HYPERLINK("https://api.whatsapp.com/send?phone=51"&amp;E19&amp;"&amp;text=*🔴 NETFLIX ULTRA HD*"&amp;"%0A"&amp;"%0A"&amp;"*📧 Correo:* "&amp;G19&amp;"%0A"&amp;"*🔑 Contraseña:* "&amp;H19&amp;"%0A"&amp;"%0A"&amp;"*🖥 Perfil:* "&amp;D19&amp;" - "&amp;PRIME!F25&amp;"%0A"&amp;"%0A"&amp;"*📍 Vence:* "&amp;J19,"💻")</f>
        <v>💻</v>
      </c>
      <c r="O19" s="22" t="s">
        <v>63</v>
      </c>
      <c r="P19" s="24">
        <v>8</v>
      </c>
      <c r="Q19" s="59" t="s">
        <v>80</v>
      </c>
      <c r="R19" s="138">
        <f t="shared" ca="1" si="0"/>
        <v>28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x14ac:dyDescent="0.25">
      <c r="A20" s="1"/>
      <c r="B20" s="1"/>
      <c r="C20" s="19"/>
      <c r="D20" s="20"/>
      <c r="E20" s="19"/>
      <c r="F20" s="21"/>
      <c r="G20" s="22"/>
      <c r="H20" s="23"/>
      <c r="I20" s="55"/>
      <c r="J20" s="59"/>
      <c r="K20" s="25">
        <f t="shared" ca="1" si="4"/>
        <v>-45392</v>
      </c>
      <c r="L20" s="101" t="str">
        <f t="shared" ca="1" si="5"/>
        <v>💰</v>
      </c>
      <c r="M20" s="101" t="str">
        <f t="shared" si="6"/>
        <v>🔐</v>
      </c>
      <c r="N20" s="101" t="str">
        <f>HYPERLINK("https://api.whatsapp.com/send?phone=51"&amp;E20&amp;"&amp;text=*🔴 NETFLIX ULTRA HD*"&amp;"%0A"&amp;"%0A"&amp;"*📧 Correo:* "&amp;G20&amp;"%0A"&amp;"*🔑 Contraseña:* "&amp;H20&amp;"%0A"&amp;"%0A"&amp;"*🖥 Perfil:* "&amp;D20&amp;" - "&amp;PRIME!F26&amp;"%0A"&amp;"%0A"&amp;"*📍 Vence:* "&amp;J20,"💻")</f>
        <v>💻</v>
      </c>
      <c r="O20" s="22"/>
      <c r="P20" s="24"/>
      <c r="Q20" s="59"/>
      <c r="R20" s="138">
        <f t="shared" ca="1" si="0"/>
        <v>-45392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x14ac:dyDescent="0.25">
      <c r="A21" s="1"/>
      <c r="B21" s="1"/>
      <c r="C21" s="19"/>
      <c r="D21" s="20"/>
      <c r="E21" s="19"/>
      <c r="F21" s="21"/>
      <c r="G21" s="22"/>
      <c r="H21" s="23"/>
      <c r="I21" s="55"/>
      <c r="J21" s="59"/>
      <c r="K21" s="25">
        <f t="shared" ca="1" si="4"/>
        <v>-45392</v>
      </c>
      <c r="L21" s="101" t="str">
        <f t="shared" ca="1" si="5"/>
        <v>💰</v>
      </c>
      <c r="M21" s="101" t="str">
        <f t="shared" si="6"/>
        <v>🔐</v>
      </c>
      <c r="N21" s="101" t="str">
        <f>HYPERLINK("https://api.whatsapp.com/send?phone=51"&amp;E21&amp;"&amp;text=*🔴 NETFLIX ULTRA HD*"&amp;"%0A"&amp;"%0A"&amp;"*📧 Correo:* "&amp;G21&amp;"%0A"&amp;"*🔑 Contraseña:* "&amp;H21&amp;"%0A"&amp;"%0A"&amp;"*🖥 Perfil:* "&amp;D21&amp;" - "&amp;PRIME!F27&amp;"%0A"&amp;"%0A"&amp;"*📍 Vence:* "&amp;J21,"💻")</f>
        <v>💻</v>
      </c>
      <c r="O21" s="22"/>
      <c r="P21" s="24"/>
      <c r="Q21" s="59"/>
      <c r="R21" s="138">
        <f t="shared" ca="1" si="0"/>
        <v>-45392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x14ac:dyDescent="0.25">
      <c r="A22" s="1"/>
      <c r="B22" s="1"/>
      <c r="C22" s="19"/>
      <c r="D22" s="20"/>
      <c r="E22" s="19"/>
      <c r="F22" s="21"/>
      <c r="G22" s="22"/>
      <c r="H22" s="23"/>
      <c r="I22" s="56"/>
      <c r="J22" s="52"/>
      <c r="K22" s="25">
        <f t="shared" ca="1" si="4"/>
        <v>-45392</v>
      </c>
      <c r="L22" s="101" t="str">
        <f t="shared" ca="1" si="5"/>
        <v>💰</v>
      </c>
      <c r="M22" s="101" t="str">
        <f t="shared" si="6"/>
        <v>🔐</v>
      </c>
      <c r="N22" s="101" t="str">
        <f>HYPERLINK("https://api.whatsapp.com/send?phone=51"&amp;E22&amp;"&amp;text=*🔴 NETFLIX ULTRA HD*"&amp;"%0A"&amp;"%0A"&amp;"*📧 Correo:* "&amp;G22&amp;"%0A"&amp;"*🔑 Contraseña:* "&amp;H22&amp;"%0A"&amp;"%0A"&amp;"*🖥 Perfil:* "&amp;D22&amp;" - "&amp;PRIME!F28&amp;"%0A"&amp;"%0A"&amp;"*📍 Vence:* "&amp;J22,"💻")</f>
        <v>💻</v>
      </c>
      <c r="O22" s="22"/>
      <c r="P22" s="24"/>
      <c r="Q22" s="52"/>
      <c r="R22" s="138">
        <f t="shared" ca="1" si="0"/>
        <v>-45392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x14ac:dyDescent="0.25">
      <c r="A23" s="1"/>
      <c r="B23" s="1"/>
      <c r="C23" s="19"/>
      <c r="D23" s="20"/>
      <c r="E23" s="19"/>
      <c r="F23" s="19"/>
      <c r="G23" s="22"/>
      <c r="H23" s="23"/>
      <c r="I23" s="56"/>
      <c r="J23" s="52"/>
      <c r="K23" s="25">
        <f t="shared" ca="1" si="4"/>
        <v>-45392</v>
      </c>
      <c r="L23" s="101" t="str">
        <f t="shared" ca="1" si="5"/>
        <v>💰</v>
      </c>
      <c r="M23" s="101" t="str">
        <f t="shared" si="6"/>
        <v>🔐</v>
      </c>
      <c r="N23" s="101" t="str">
        <f>HYPERLINK("https://api.whatsapp.com/send?phone=51"&amp;E23&amp;"&amp;text=*🔴 NETFLIX ULTRA HD*"&amp;"%0A"&amp;"%0A"&amp;"*📧 Correo:* "&amp;G23&amp;"%0A"&amp;"*🔑 Contraseña:* "&amp;H23&amp;"%0A"&amp;"%0A"&amp;"*🖥 Perfil:* "&amp;D23&amp;" - "&amp;PRIME!F29&amp;"%0A"&amp;"%0A"&amp;"*📍 Vence:* "&amp;J23,"💻")</f>
        <v>💻</v>
      </c>
      <c r="O23" s="22"/>
      <c r="P23" s="24"/>
      <c r="Q23" s="52"/>
      <c r="R23" s="138">
        <f t="shared" ca="1" si="0"/>
        <v>-45392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x14ac:dyDescent="0.25">
      <c r="C24" s="19"/>
      <c r="D24" s="20"/>
      <c r="E24" s="19"/>
      <c r="F24" s="21"/>
      <c r="G24" s="22"/>
      <c r="H24" s="23"/>
      <c r="I24" s="55"/>
      <c r="J24" s="59"/>
      <c r="K24" s="25">
        <f t="shared" ca="1" si="4"/>
        <v>-45392</v>
      </c>
      <c r="L24" s="101" t="str">
        <f t="shared" ca="1" si="5"/>
        <v>💰</v>
      </c>
      <c r="M24" s="101" t="str">
        <f t="shared" si="6"/>
        <v>🔐</v>
      </c>
      <c r="N24" s="101" t="str">
        <f>HYPERLINK("https://api.whatsapp.com/send?phone=51"&amp;E24&amp;"&amp;text=*🔴 NETFLIX ULTRA HD*"&amp;"%0A"&amp;"%0A"&amp;"*📧 Correo:* "&amp;G24&amp;"%0A"&amp;"*🔑 Contraseña:* "&amp;H24&amp;"%0A"&amp;"%0A"&amp;"*🖥 Perfil:* "&amp;D24&amp;" - "&amp;PRIME!F30&amp;"%0A"&amp;"%0A"&amp;"*📍 Vence:* "&amp;J24,"💻")</f>
        <v>💻</v>
      </c>
      <c r="O24" s="22"/>
      <c r="P24" s="24"/>
      <c r="Q24" s="59"/>
      <c r="R24" s="138">
        <f t="shared" ca="1" si="0"/>
        <v>-45392</v>
      </c>
    </row>
    <row r="25" spans="1:30" s="111" customFormat="1" x14ac:dyDescent="0.25">
      <c r="C25" s="19"/>
      <c r="D25" s="20"/>
      <c r="E25" s="19"/>
      <c r="F25" s="21"/>
      <c r="G25" s="22"/>
      <c r="H25" s="23"/>
      <c r="I25" s="55"/>
      <c r="J25" s="59"/>
      <c r="K25" s="25">
        <f t="shared" ca="1" si="4"/>
        <v>-45392</v>
      </c>
      <c r="L25" s="101" t="str">
        <f t="shared" ca="1" si="5"/>
        <v>💰</v>
      </c>
      <c r="M25" s="101" t="str">
        <f t="shared" si="6"/>
        <v>🔐</v>
      </c>
      <c r="N25" s="101" t="str">
        <f>HYPERLINK("https://api.whatsapp.com/send?phone=51"&amp;E25&amp;"&amp;text=*🔴 NETFLIX ULTRA HD*"&amp;"%0A"&amp;"%0A"&amp;"*📧 Correo:* "&amp;G25&amp;"%0A"&amp;"*🔑 Contraseña:* "&amp;H25&amp;"%0A"&amp;"%0A"&amp;"*🖥 Perfil:* "&amp;D25&amp;" - "&amp;PRIME!F31&amp;"%0A"&amp;"%0A"&amp;"*📍 Vence:* "&amp;J25,"💻")</f>
        <v>💻</v>
      </c>
      <c r="O25" s="22"/>
      <c r="P25" s="24"/>
      <c r="Q25" s="59"/>
      <c r="R25" s="138">
        <f t="shared" ca="1" si="0"/>
        <v>-45392</v>
      </c>
    </row>
    <row r="26" spans="1:30" s="111" customFormat="1" x14ac:dyDescent="0.25">
      <c r="C26" s="19"/>
      <c r="D26" s="20"/>
      <c r="E26" s="19"/>
      <c r="F26" s="21"/>
      <c r="G26" s="22"/>
      <c r="H26" s="23"/>
      <c r="I26" s="56"/>
      <c r="J26" s="52"/>
      <c r="K26" s="25">
        <f t="shared" ca="1" si="4"/>
        <v>-45392</v>
      </c>
      <c r="L26" s="101" t="str">
        <f t="shared" ca="1" si="5"/>
        <v>💰</v>
      </c>
      <c r="M26" s="101" t="str">
        <f t="shared" si="6"/>
        <v>🔐</v>
      </c>
      <c r="N26" s="101" t="str">
        <f>HYPERLINK("https://api.whatsapp.com/send?phone=51"&amp;E26&amp;"&amp;text=*🔴 NETFLIX ULTRA HD*"&amp;"%0A"&amp;"%0A"&amp;"*📧 Correo:* "&amp;G26&amp;"%0A"&amp;"*🔑 Contraseña:* "&amp;H26&amp;"%0A"&amp;"%0A"&amp;"*🖥 Perfil:* "&amp;D26&amp;" - "&amp;PRIME!F32&amp;"%0A"&amp;"%0A"&amp;"*📍 Vence:* "&amp;J26,"💻")</f>
        <v>💻</v>
      </c>
      <c r="O26" s="22"/>
      <c r="P26" s="24"/>
      <c r="Q26" s="52"/>
      <c r="R26" s="138">
        <f t="shared" ca="1" si="0"/>
        <v>-45392</v>
      </c>
    </row>
    <row r="27" spans="1:30" s="111" customFormat="1" x14ac:dyDescent="0.25">
      <c r="C27" s="19"/>
      <c r="D27" s="20"/>
      <c r="E27" s="19"/>
      <c r="F27" s="19"/>
      <c r="G27" s="22"/>
      <c r="H27" s="23"/>
      <c r="I27" s="56"/>
      <c r="J27" s="52"/>
      <c r="K27" s="25">
        <f t="shared" ca="1" si="4"/>
        <v>-45392</v>
      </c>
      <c r="L27" s="101" t="str">
        <f t="shared" ca="1" si="5"/>
        <v>💰</v>
      </c>
      <c r="M27" s="101" t="str">
        <f t="shared" si="6"/>
        <v>🔐</v>
      </c>
      <c r="N27" s="101" t="str">
        <f>HYPERLINK("https://api.whatsapp.com/send?phone=51"&amp;E27&amp;"&amp;text=*🔴 NETFLIX ULTRA HD*"&amp;"%0A"&amp;"%0A"&amp;"*📧 Correo:* "&amp;G27&amp;"%0A"&amp;"*🔑 Contraseña:* "&amp;H27&amp;"%0A"&amp;"%0A"&amp;"*🖥 Perfil:* "&amp;D27&amp;" - "&amp;PRIME!F33&amp;"%0A"&amp;"%0A"&amp;"*📍 Vence:* "&amp;J27,"💻")</f>
        <v>💻</v>
      </c>
      <c r="O27" s="22"/>
      <c r="P27" s="24"/>
      <c r="Q27" s="52"/>
      <c r="R27" s="138">
        <f t="shared" ca="1" si="0"/>
        <v>-45392</v>
      </c>
    </row>
    <row r="28" spans="1:30" s="111" customFormat="1" x14ac:dyDescent="0.25">
      <c r="C28" s="19"/>
      <c r="D28" s="20"/>
      <c r="E28" s="19"/>
      <c r="F28" s="21"/>
      <c r="G28" s="22"/>
      <c r="H28" s="23"/>
      <c r="I28" s="56"/>
      <c r="J28" s="52"/>
      <c r="K28" s="25">
        <f t="shared" ca="1" si="4"/>
        <v>-45392</v>
      </c>
      <c r="L28" s="101" t="str">
        <f t="shared" ca="1" si="5"/>
        <v>💰</v>
      </c>
      <c r="M28" s="101" t="str">
        <f t="shared" si="6"/>
        <v>🔐</v>
      </c>
      <c r="N28" s="101" t="str">
        <f>HYPERLINK("https://api.whatsapp.com/send?phone=51"&amp;E28&amp;"&amp;text=*🔴 NETFLIX ULTRA HD*"&amp;"%0A"&amp;"%0A"&amp;"*📧 Correo:* "&amp;G28&amp;"%0A"&amp;"*🔑 Contraseña:* "&amp;H28&amp;"%0A"&amp;"%0A"&amp;"*🖥 Perfil:* "&amp;D28&amp;" - "&amp;PRIME!F34&amp;"%0A"&amp;"%0A"&amp;"*📍 Vence:* "&amp;J28,"💻")</f>
        <v>💻</v>
      </c>
      <c r="O28" s="22"/>
      <c r="P28" s="24"/>
      <c r="Q28" s="52"/>
      <c r="R28" s="138">
        <f t="shared" ca="1" si="0"/>
        <v>-45392</v>
      </c>
    </row>
    <row r="29" spans="1:30" s="111" customFormat="1" x14ac:dyDescent="0.25"/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0">
    <mergeCell ref="L12:N12"/>
    <mergeCell ref="L11:N11"/>
    <mergeCell ref="X2:Y2"/>
    <mergeCell ref="D9:O9"/>
    <mergeCell ref="S9:T9"/>
    <mergeCell ref="X9:Y9"/>
    <mergeCell ref="D1:E1"/>
    <mergeCell ref="D2:E2"/>
    <mergeCell ref="S2:T2"/>
    <mergeCell ref="U2:U9"/>
  </mergeCells>
  <phoneticPr fontId="2" type="noConversion"/>
  <conditionalFormatting sqref="K14:K18">
    <cfRule type="iconSet" priority="13">
      <iconSet iconSet="3Symbols">
        <cfvo type="percent" val="0"/>
        <cfvo type="num" val="0" gte="0"/>
        <cfvo type="num" val="3"/>
      </iconSet>
    </cfRule>
  </conditionalFormatting>
  <conditionalFormatting sqref="K19:K28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L14:M18">
    <cfRule type="iconSet" priority="17">
      <iconSet iconSet="3Symbols">
        <cfvo type="percent" val="0"/>
        <cfvo type="num" val="0" gte="0"/>
        <cfvo type="num" val="3"/>
      </iconSet>
    </cfRule>
  </conditionalFormatting>
  <conditionalFormatting sqref="L19:M28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N14:N18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N19:N28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18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R19:R28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A94D72E0-095C-4902-B6ED-78DEAAA44272}"/>
    <hyperlink ref="G19" r:id="rId2" xr:uid="{FE732B8E-0AE3-4570-AC0B-D439CE857AEE}"/>
  </hyperlinks>
  <pageMargins left="0.7" right="0.7" top="0.75" bottom="0.75" header="0.3" footer="0.3"/>
  <pageSetup paperSize="9" orientation="portrait" horizontalDpi="203" verticalDpi="203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240A-1283-482D-933C-F0D2ECEC7D80}">
  <sheetPr>
    <tabColor rgb="FF0070C0"/>
  </sheetPr>
  <dimension ref="A1:AD404"/>
  <sheetViews>
    <sheetView topLeftCell="B7" zoomScale="91" zoomScaleNormal="91" workbookViewId="0">
      <selection activeCell="O17" sqref="O17"/>
    </sheetView>
  </sheetViews>
  <sheetFormatPr baseColWidth="10" defaultRowHeight="15.75" x14ac:dyDescent="0.25"/>
  <cols>
    <col min="1" max="3" width="11.42578125" style="106"/>
    <col min="4" max="4" width="12" style="106" customWidth="1"/>
    <col min="5" max="5" width="15.7109375" style="106" customWidth="1"/>
    <col min="6" max="6" width="9.140625" style="106" customWidth="1"/>
    <col min="7" max="7" width="29.85546875" style="106" customWidth="1"/>
    <col min="8" max="8" width="12.85546875" style="106" customWidth="1"/>
    <col min="9" max="9" width="9.28515625" style="115" customWidth="1"/>
    <col min="10" max="10" width="12.710937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42578125" style="106" customWidth="1"/>
    <col min="16" max="16" width="9.42578125" style="106" customWidth="1"/>
    <col min="17" max="17" width="11.42578125" style="106"/>
    <col min="18" max="18" width="9.57031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3"/>
      <c r="F6" s="106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12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19"/>
      <c r="P12" s="151" t="s">
        <v>47</v>
      </c>
      <c r="Q12" s="151"/>
      <c r="R12" s="152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38" t="s">
        <v>0</v>
      </c>
      <c r="D13" s="38" t="s">
        <v>11</v>
      </c>
      <c r="E13" s="38" t="s">
        <v>1</v>
      </c>
      <c r="F13" s="38" t="s">
        <v>10</v>
      </c>
      <c r="G13" s="38" t="s">
        <v>2</v>
      </c>
      <c r="H13" s="39" t="s">
        <v>12</v>
      </c>
      <c r="I13" s="40" t="s">
        <v>18</v>
      </c>
      <c r="J13" s="41" t="s">
        <v>4</v>
      </c>
      <c r="K13" s="119" t="s">
        <v>5</v>
      </c>
      <c r="L13" s="95" t="s">
        <v>6</v>
      </c>
      <c r="M13" s="95" t="s">
        <v>7</v>
      </c>
      <c r="N13" s="95" t="s">
        <v>8</v>
      </c>
      <c r="O13" s="153" t="s">
        <v>15</v>
      </c>
      <c r="P13" s="154" t="s">
        <v>45</v>
      </c>
      <c r="Q13" s="155" t="s">
        <v>4</v>
      </c>
      <c r="R13" s="156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14</v>
      </c>
      <c r="D14" s="14" t="s">
        <v>13</v>
      </c>
      <c r="E14" s="13">
        <v>945174408</v>
      </c>
      <c r="F14" s="13">
        <v>2485</v>
      </c>
      <c r="G14" s="15" t="s">
        <v>16</v>
      </c>
      <c r="H14" s="16" t="s">
        <v>24</v>
      </c>
      <c r="I14" s="17">
        <v>12</v>
      </c>
      <c r="J14" s="49" t="s">
        <v>44</v>
      </c>
      <c r="K14" s="92">
        <f ca="1">J14-K$12</f>
        <v>-224</v>
      </c>
      <c r="L14" s="101" t="str">
        <f ca="1">HYPERLINK("https://api.whatsapp.com/send?phone="&amp;E14&amp;"&amp;text="&amp;(IF(K14&lt;=0,"🚨 Hola, *"&amp;D14&amp;".*"&amp;"%0A"&amp;"Su cuenta de Combo Plus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*COMBO PLUS*")),"💰")</f>
        <v>💰</v>
      </c>
      <c r="M14" s="101" t="str">
        <f>HYPERLINK("https://api.whatsapp.com/send?phone="&amp;E14&amp;"&amp;text=*🔴Cambio de contraseña: Combo Plus*"&amp;"%0A"&amp;"%0A"&amp;"💻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HYPERLINK("https://api.whatsapp.com/send?phone=51"&amp;E14&amp;"&amp;text=*🔴COMBO PLUS*"&amp;"%0A"&amp;"%0A"&amp;"*📧 Correo:* "&amp;G14&amp;"%0A"&amp;"*🔑 Contraseña:* "&amp;H14&amp;"%0A"&amp;"%0A"&amp;"*🖥 Perfil:* "&amp;D14&amp;" - "&amp;F14&amp;"%0A"&amp;"%0A"&amp;"*📍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21"/>
      <c r="G15" s="22"/>
      <c r="H15" s="23"/>
      <c r="I15" s="24"/>
      <c r="J15" s="51"/>
      <c r="K15" s="93">
        <f ca="1">J15-K$12</f>
        <v>-45392</v>
      </c>
      <c r="L15" s="101" t="str">
        <f t="shared" ref="L15:L20" ca="1" si="0">HYPERLINK("https://api.whatsapp.com/send?phone="&amp;E15&amp;"&amp;text="&amp;(IF(K15&lt;=0,"🚨 Hola, *"&amp;D15&amp;".*"&amp;"%0A"&amp;"Su cuenta de Combo Plus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*COMBO PLUS*")),"💰")</f>
        <v>💰</v>
      </c>
      <c r="M15" s="101" t="str">
        <f t="shared" ref="M15:M20" si="1">HYPERLINK("https://api.whatsapp.com/send?phone="&amp;E15&amp;"&amp;text=*🔴Cambio de contraseña: Combo Plus*"&amp;"%0A"&amp;"%0A"&amp;"💻 Correo: *"&amp;G15&amp;"*"&amp;"%0A"&amp;"🔐 Nueva Contraseña: *"&amp;H15&amp;"*","🔐")</f>
        <v>🔐</v>
      </c>
      <c r="N15" s="101" t="str">
        <f t="shared" ref="N15:N20" si="2">HYPERLINK("https://api.whatsapp.com/send?phone=51"&amp;E15&amp;"&amp;text=*🔴COMBO PLUS*"&amp;"%0A"&amp;"%0A"&amp;"*📧 Correo:* "&amp;G15&amp;"%0A"&amp;"*🔑 Contraseña:* "&amp;H15&amp;"%0A"&amp;"%0A"&amp;"*🖥 Perfil:* "&amp;D15&amp;" - "&amp;F15&amp;"%0A"&amp;"%0A"&amp;"*📍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21"/>
      <c r="G16" s="22"/>
      <c r="H16" s="23"/>
      <c r="I16" s="26"/>
      <c r="J16" s="51"/>
      <c r="K16" s="93">
        <f t="shared" ref="K16:K17" ca="1" si="3">J16-K$12</f>
        <v>-45392</v>
      </c>
      <c r="L16" s="10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19"/>
      <c r="G17" s="22"/>
      <c r="H17" s="23"/>
      <c r="I17" s="26"/>
      <c r="J17" s="51"/>
      <c r="K17" s="93">
        <f t="shared" ca="1" si="3"/>
        <v>-45392</v>
      </c>
      <c r="L17" s="10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9"/>
      <c r="D18" s="20"/>
      <c r="E18" s="19"/>
      <c r="F18" s="19"/>
      <c r="G18" s="22"/>
      <c r="H18" s="23"/>
      <c r="I18" s="26"/>
      <c r="J18" s="51"/>
      <c r="K18" s="93">
        <f ca="1">J18-K$12</f>
        <v>-45392</v>
      </c>
      <c r="L18" s="10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2"/>
      <c r="P18" s="24"/>
      <c r="Q18" s="52"/>
      <c r="R18" s="138">
        <f t="shared" ref="R18:R20" ca="1" si="4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x14ac:dyDescent="0.25">
      <c r="A19" s="1"/>
      <c r="B19" s="1"/>
      <c r="C19" s="19"/>
      <c r="D19" s="19"/>
      <c r="E19" s="19"/>
      <c r="F19" s="19"/>
      <c r="G19" s="19"/>
      <c r="H19" s="19"/>
      <c r="I19" s="26"/>
      <c r="J19" s="52"/>
      <c r="K19" s="93">
        <f t="shared" ref="K19:K20" ca="1" si="5">J19-K$12</f>
        <v>-45392</v>
      </c>
      <c r="L19" s="101" t="str">
        <f t="shared" ca="1" si="0"/>
        <v>💰</v>
      </c>
      <c r="M19" s="101" t="str">
        <f t="shared" si="1"/>
        <v>🔐</v>
      </c>
      <c r="N19" s="101" t="str">
        <f t="shared" si="2"/>
        <v>💻</v>
      </c>
      <c r="O19" s="22"/>
      <c r="P19" s="24"/>
      <c r="Q19" s="52"/>
      <c r="R19" s="138">
        <f t="shared" ca="1" si="4"/>
        <v>-45392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27"/>
      <c r="D20" s="27"/>
      <c r="E20" s="27"/>
      <c r="F20" s="27"/>
      <c r="G20" s="27"/>
      <c r="H20" s="27"/>
      <c r="I20" s="31"/>
      <c r="J20" s="53"/>
      <c r="K20" s="94">
        <f t="shared" ca="1" si="5"/>
        <v>-45392</v>
      </c>
      <c r="L20" s="101" t="str">
        <f t="shared" ca="1" si="0"/>
        <v>💰</v>
      </c>
      <c r="M20" s="101" t="str">
        <f t="shared" si="1"/>
        <v>🔐</v>
      </c>
      <c r="N20" s="101" t="str">
        <f t="shared" si="2"/>
        <v>💻</v>
      </c>
      <c r="O20" s="29"/>
      <c r="P20" s="77"/>
      <c r="Q20" s="53"/>
      <c r="R20" s="139">
        <f t="shared" ca="1" si="4"/>
        <v>-45392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42"/>
      <c r="E21" s="42"/>
      <c r="F21" s="43"/>
      <c r="G21" s="44"/>
      <c r="H21" s="42"/>
      <c r="I21" s="45"/>
      <c r="J21" s="46"/>
      <c r="K21" s="47"/>
      <c r="L21" s="48"/>
      <c r="M21" s="48"/>
      <c r="N21" s="48"/>
      <c r="O21" s="1"/>
      <c r="P21" s="145"/>
      <c r="Q21" s="146"/>
      <c r="R21" s="3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38" t="s">
        <v>11</v>
      </c>
      <c r="E22" s="38" t="s">
        <v>1</v>
      </c>
      <c r="F22" s="38" t="s">
        <v>10</v>
      </c>
      <c r="G22" s="38" t="s">
        <v>2</v>
      </c>
      <c r="H22" s="38" t="s">
        <v>12</v>
      </c>
      <c r="I22" s="40" t="s">
        <v>18</v>
      </c>
      <c r="J22" s="41" t="s">
        <v>4</v>
      </c>
      <c r="K22" s="119" t="s">
        <v>5</v>
      </c>
      <c r="L22" s="95" t="s">
        <v>6</v>
      </c>
      <c r="M22" s="95" t="s">
        <v>7</v>
      </c>
      <c r="N22" s="95" t="s">
        <v>8</v>
      </c>
      <c r="O22" s="38" t="s">
        <v>15</v>
      </c>
      <c r="P22" s="152" t="s">
        <v>45</v>
      </c>
      <c r="Q22" s="155" t="s">
        <v>4</v>
      </c>
      <c r="R22" s="157" t="s"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42"/>
      <c r="D23" s="32"/>
      <c r="E23" s="32"/>
      <c r="F23" s="85"/>
      <c r="G23" s="34"/>
      <c r="H23" s="35"/>
      <c r="I23" s="36"/>
      <c r="J23" s="37"/>
      <c r="K23" s="96">
        <f ca="1">J23-K$12</f>
        <v>-45392</v>
      </c>
      <c r="L23" s="101" t="str">
        <f ca="1">HYPERLINK("https://api.whatsapp.com/send?phone="&amp;E23&amp;"&amp;text="&amp;(IF(K23&lt;=0,"🚨 Hola, *"&amp;D23&amp;".*"&amp;"%0A"&amp;"Su cuenta de Combo Plus vencio, Porfavor renueve si aun desea el servicio."&amp;"%0A"&amp;"*Tiene todo el dia para realizar el pago de lo contrario al dia siguiente sera suspendida*"&amp;"%0A"&amp;"*GRACIAS*","*MENSAJE RECORDATORIO 🚨*"&amp;"%0A"&amp;"%0A"&amp;"Hola, "&amp;D23&amp;"."&amp;"%0A"&amp;"Te quedan "&amp;K23&amp;" Dias restantes para renovar su cuenta de *COMBO PLUS*")),"💰")</f>
        <v>💰</v>
      </c>
      <c r="M23" s="101" t="str">
        <f>HYPERLINK("https://api.whatsapp.com/send?phone="&amp;E23&amp;"&amp;text=*🔴Cambio de contraseña: Combo Plus*"&amp;"%0A"&amp;"%0A"&amp;"💻 Correo: *"&amp;G23&amp;"*"&amp;"%0A"&amp;"🔐 Nueva Contraseña: *"&amp;H23&amp;"*","🔐")</f>
        <v>🔐</v>
      </c>
      <c r="N23" s="101" t="str">
        <f>HYPERLINK("https://api.whatsapp.com/send?phone=51"&amp;E23&amp;"&amp;text=*🔴COMBO PLUS COMPLETA*"&amp;"%0A"&amp;"%0A"&amp;"*📧 Correo:* "&amp;G23&amp;"%0A"&amp;"*🔑 Contraseña:* "&amp;H23&amp;"%0A"&amp;"%0A"&amp;"*🖥 Perfil:* "&amp;D23&amp;"  "&amp;F23&amp;"%0A"&amp;"%0A"&amp;"*📍 Vence:* "&amp;J23,"💻")</f>
        <v>💻</v>
      </c>
      <c r="O23" s="34"/>
      <c r="P23" s="142"/>
      <c r="Q23" s="143"/>
      <c r="R23" s="139">
        <f ca="1">Q23-TODAY()</f>
        <v>-45392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42"/>
      <c r="D24" s="42"/>
      <c r="E24" s="42"/>
      <c r="F24" s="42"/>
      <c r="G24" s="42"/>
      <c r="H24" s="42"/>
      <c r="I24" s="45"/>
      <c r="J24" s="46"/>
      <c r="K24" s="47"/>
      <c r="L24" s="48"/>
      <c r="M24" s="48"/>
      <c r="N24" s="48"/>
      <c r="P24" s="145"/>
    </row>
    <row r="25" spans="1:30" s="111" customFormat="1" ht="16.5" thickBot="1" x14ac:dyDescent="0.3">
      <c r="C25" s="5"/>
      <c r="D25" s="5"/>
      <c r="E25" s="5"/>
      <c r="F25" s="5"/>
      <c r="G25" s="5"/>
      <c r="H25" s="5"/>
      <c r="I25" s="6"/>
      <c r="J25" s="7"/>
      <c r="K25" s="8">
        <f ca="1">TODAY()</f>
        <v>45392</v>
      </c>
      <c r="L25" s="230" t="s">
        <v>9</v>
      </c>
      <c r="M25" s="231"/>
      <c r="N25" s="235"/>
      <c r="O25" s="119"/>
      <c r="P25" s="151" t="s">
        <v>47</v>
      </c>
      <c r="Q25" s="151"/>
      <c r="R25" s="152"/>
    </row>
    <row r="26" spans="1:30" s="111" customFormat="1" ht="16.5" thickBot="1" x14ac:dyDescent="0.3">
      <c r="C26" s="38" t="s">
        <v>0</v>
      </c>
      <c r="D26" s="38" t="s">
        <v>11</v>
      </c>
      <c r="E26" s="38" t="s">
        <v>1</v>
      </c>
      <c r="F26" s="38" t="s">
        <v>10</v>
      </c>
      <c r="G26" s="38" t="s">
        <v>2</v>
      </c>
      <c r="H26" s="39" t="s">
        <v>12</v>
      </c>
      <c r="I26" s="40" t="s">
        <v>18</v>
      </c>
      <c r="J26" s="41" t="s">
        <v>4</v>
      </c>
      <c r="K26" s="119" t="s">
        <v>5</v>
      </c>
      <c r="L26" s="95" t="s">
        <v>6</v>
      </c>
      <c r="M26" s="95" t="s">
        <v>7</v>
      </c>
      <c r="N26" s="95" t="s">
        <v>8</v>
      </c>
      <c r="O26" s="153" t="s">
        <v>15</v>
      </c>
      <c r="P26" s="154" t="s">
        <v>45</v>
      </c>
      <c r="Q26" s="155" t="s">
        <v>4</v>
      </c>
      <c r="R26" s="156" t="s">
        <v>5</v>
      </c>
    </row>
    <row r="27" spans="1:30" s="111" customFormat="1" x14ac:dyDescent="0.25">
      <c r="C27" s="13"/>
      <c r="D27" s="14"/>
      <c r="E27" s="13"/>
      <c r="F27" s="13"/>
      <c r="G27" s="15"/>
      <c r="H27" s="16"/>
      <c r="I27" s="17"/>
      <c r="J27" s="49"/>
      <c r="K27" s="92">
        <f ca="1">J27-K$12</f>
        <v>-45392</v>
      </c>
      <c r="L27" s="101" t="str">
        <f ca="1">HYPERLINK("https://api.whatsapp.com/send?phone="&amp;E27&amp;"&amp;text="&amp;(IF(K27&lt;=0,"🚨 Hola, *"&amp;D27&amp;".*"&amp;"%0A"&amp;"Su cuenta de Combo Plus vencio, Porfavor renueve si aun desea el servicio."&amp;"%0A"&amp;"*Tiene todo el dia para realizar el pago de lo contrario al dia siguiente sera suspendida*"&amp;"%0A"&amp;"*GRACIAS*","*MENSAJE RECORDATORIO 🚨*"&amp;"%0A"&amp;"%0A"&amp;"Hola, "&amp;D27&amp;"."&amp;"%0A"&amp;"Te quedan "&amp;K27&amp;" Dias restantes para renovar su cuenta de *COMBO PLUS*")),"💰")</f>
        <v>💰</v>
      </c>
      <c r="M27" s="101" t="str">
        <f>HYPERLINK("https://api.whatsapp.com/send?phone="&amp;E27&amp;"&amp;text=*🔴Cambio de contraseña: Combo Plus*"&amp;"%0A"&amp;"%0A"&amp;"💻 Correo: *"&amp;G27&amp;"*"&amp;"%0A"&amp;"🔐 Nueva Contraseña: *"&amp;H27&amp;"*","🔐")</f>
        <v>🔐</v>
      </c>
      <c r="N27" s="101" t="str">
        <f>HYPERLINK("https://api.whatsapp.com/send?phone=51"&amp;E27&amp;"&amp;text=*🔴COMBO PLUS*"&amp;"%0A"&amp;"%0A"&amp;"*📧 Correo:* "&amp;G27&amp;"%0A"&amp;"*🔑 Contraseña:* "&amp;H27&amp;"%0A"&amp;"%0A"&amp;"*🖥 Perfil:* "&amp;D27&amp;" - "&amp;F27&amp;"%0A"&amp;"%0A"&amp;"*📍 Vence:* "&amp;J27,"💻")</f>
        <v>💻</v>
      </c>
      <c r="O27" s="15"/>
      <c r="P27" s="141"/>
      <c r="Q27" s="58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21"/>
      <c r="G28" s="22"/>
      <c r="H28" s="23"/>
      <c r="I28" s="24"/>
      <c r="J28" s="51"/>
      <c r="K28" s="93">
        <f ca="1">J28-K$12</f>
        <v>-45392</v>
      </c>
      <c r="L28" s="101" t="str">
        <f t="shared" ref="L28:L33" ca="1" si="6">HYPERLINK("https://api.whatsapp.com/send?phone="&amp;E28&amp;"&amp;text="&amp;(IF(K28&lt;=0,"🚨 Hola, *"&amp;D28&amp;".*"&amp;"%0A"&amp;"Su cuenta de Combo Plus vencio, Porfavor renueve si aun desea el servicio."&amp;"%0A"&amp;"*Tiene todo el dia para realizar el pago de lo contrario al dia siguiente sera suspendida*"&amp;"%0A"&amp;"*GRACIAS*","*MENSAJE RECORDATORIO 🚨*"&amp;"%0A"&amp;"%0A"&amp;"Hola, "&amp;D28&amp;"."&amp;"%0A"&amp;"Te quedan "&amp;K28&amp;" Dias restantes para renovar su cuenta de *COMBO PLUS*")),"💰")</f>
        <v>💰</v>
      </c>
      <c r="M28" s="101" t="str">
        <f t="shared" ref="M28:M33" si="7">HYPERLINK("https://api.whatsapp.com/send?phone="&amp;E28&amp;"&amp;text=*🔴Cambio de contraseña: Combo Plus*"&amp;"%0A"&amp;"%0A"&amp;"💻 Correo: *"&amp;G28&amp;"*"&amp;"%0A"&amp;"🔐 Nueva Contraseña: *"&amp;H28&amp;"*","🔐")</f>
        <v>🔐</v>
      </c>
      <c r="N28" s="101" t="str">
        <f t="shared" ref="N28:N33" si="8">HYPERLINK("https://api.whatsapp.com/send?phone=51"&amp;E28&amp;"&amp;text=*🔴COMBO PLUS*"&amp;"%0A"&amp;"%0A"&amp;"*📧 Correo:* "&amp;G28&amp;"%0A"&amp;"*🔑 Contraseña:* "&amp;H28&amp;"%0A"&amp;"%0A"&amp;"*🖥 Perfil:* "&amp;D28&amp;" - "&amp;F28&amp;"%0A"&amp;"%0A"&amp;"*📍 Vence:* "&amp;J28,"💻")</f>
        <v>💻</v>
      </c>
      <c r="O28" s="22"/>
      <c r="P28" s="24"/>
      <c r="Q28" s="59"/>
      <c r="R28" s="138">
        <f ca="1">Q28-TODAY()</f>
        <v>-45392</v>
      </c>
    </row>
    <row r="29" spans="1:30" s="111" customFormat="1" x14ac:dyDescent="0.25">
      <c r="C29" s="19"/>
      <c r="D29" s="20"/>
      <c r="E29" s="19"/>
      <c r="F29" s="21"/>
      <c r="G29" s="22"/>
      <c r="H29" s="23"/>
      <c r="I29" s="26"/>
      <c r="J29" s="51"/>
      <c r="K29" s="93">
        <f t="shared" ref="K29:K30" ca="1" si="9">J29-K$12</f>
        <v>-45392</v>
      </c>
      <c r="L29" s="101" t="str">
        <f t="shared" ca="1" si="6"/>
        <v>💰</v>
      </c>
      <c r="M29" s="101" t="str">
        <f t="shared" si="7"/>
        <v>🔐</v>
      </c>
      <c r="N29" s="101" t="str">
        <f t="shared" si="8"/>
        <v>💻</v>
      </c>
      <c r="O29" s="22"/>
      <c r="P29" s="24"/>
      <c r="Q29" s="52"/>
      <c r="R29" s="138">
        <f ca="1">Q29-TODAY()</f>
        <v>-45392</v>
      </c>
    </row>
    <row r="30" spans="1:30" s="111" customFormat="1" x14ac:dyDescent="0.25">
      <c r="C30" s="19"/>
      <c r="D30" s="20"/>
      <c r="E30" s="19"/>
      <c r="F30" s="19"/>
      <c r="G30" s="22"/>
      <c r="H30" s="23"/>
      <c r="I30" s="26"/>
      <c r="J30" s="51"/>
      <c r="K30" s="93">
        <f t="shared" ca="1" si="9"/>
        <v>-45392</v>
      </c>
      <c r="L30" s="101" t="str">
        <f t="shared" ca="1" si="6"/>
        <v>💰</v>
      </c>
      <c r="M30" s="101" t="str">
        <f t="shared" si="7"/>
        <v>🔐</v>
      </c>
      <c r="N30" s="101" t="str">
        <f t="shared" si="8"/>
        <v>💻</v>
      </c>
      <c r="O30" s="22"/>
      <c r="P30" s="24"/>
      <c r="Q30" s="52"/>
      <c r="R30" s="138">
        <f ca="1">Q30-TODAY()</f>
        <v>-45392</v>
      </c>
    </row>
    <row r="31" spans="1:30" s="111" customFormat="1" x14ac:dyDescent="0.25">
      <c r="C31" s="19"/>
      <c r="D31" s="20"/>
      <c r="E31" s="19"/>
      <c r="F31" s="19"/>
      <c r="G31" s="22"/>
      <c r="H31" s="23"/>
      <c r="I31" s="26"/>
      <c r="J31" s="51"/>
      <c r="K31" s="93">
        <f ca="1">J31-K$12</f>
        <v>-45392</v>
      </c>
      <c r="L31" s="101" t="str">
        <f t="shared" ca="1" si="6"/>
        <v>💰</v>
      </c>
      <c r="M31" s="101" t="str">
        <f t="shared" si="7"/>
        <v>🔐</v>
      </c>
      <c r="N31" s="101" t="str">
        <f t="shared" si="8"/>
        <v>💻</v>
      </c>
      <c r="O31" s="22"/>
      <c r="P31" s="24"/>
      <c r="Q31" s="52"/>
      <c r="R31" s="138">
        <f t="shared" ref="R31:R33" ca="1" si="10">Q31-TODAY()</f>
        <v>-45392</v>
      </c>
    </row>
    <row r="32" spans="1:30" s="111" customFormat="1" x14ac:dyDescent="0.25">
      <c r="C32" s="19"/>
      <c r="D32" s="19"/>
      <c r="E32" s="19"/>
      <c r="F32" s="19"/>
      <c r="G32" s="19"/>
      <c r="H32" s="19"/>
      <c r="I32" s="26"/>
      <c r="J32" s="52"/>
      <c r="K32" s="93">
        <f t="shared" ref="K32:K33" ca="1" si="11">J32-K$12</f>
        <v>-45392</v>
      </c>
      <c r="L32" s="101" t="str">
        <f t="shared" ca="1" si="6"/>
        <v>💰</v>
      </c>
      <c r="M32" s="101" t="str">
        <f t="shared" si="7"/>
        <v>🔐</v>
      </c>
      <c r="N32" s="101" t="str">
        <f t="shared" si="8"/>
        <v>💻</v>
      </c>
      <c r="O32" s="22"/>
      <c r="P32" s="24"/>
      <c r="Q32" s="52"/>
      <c r="R32" s="138">
        <f t="shared" ca="1" si="10"/>
        <v>-45392</v>
      </c>
    </row>
    <row r="33" spans="3:18" s="111" customFormat="1" ht="16.5" thickBot="1" x14ac:dyDescent="0.3">
      <c r="C33" s="27"/>
      <c r="D33" s="27"/>
      <c r="E33" s="27"/>
      <c r="F33" s="27"/>
      <c r="G33" s="27"/>
      <c r="H33" s="27"/>
      <c r="I33" s="31"/>
      <c r="J33" s="53"/>
      <c r="K33" s="94">
        <f t="shared" ca="1" si="11"/>
        <v>-45392</v>
      </c>
      <c r="L33" s="101" t="str">
        <f t="shared" ca="1" si="6"/>
        <v>💰</v>
      </c>
      <c r="M33" s="101" t="str">
        <f t="shared" si="7"/>
        <v>🔐</v>
      </c>
      <c r="N33" s="101" t="str">
        <f t="shared" si="8"/>
        <v>💻</v>
      </c>
      <c r="O33" s="29"/>
      <c r="P33" s="77"/>
      <c r="Q33" s="53"/>
      <c r="R33" s="139">
        <f t="shared" ca="1" si="10"/>
        <v>-45392</v>
      </c>
    </row>
    <row r="34" spans="3:18" s="111" customFormat="1" x14ac:dyDescent="0.25">
      <c r="I34" s="113"/>
      <c r="J34" s="114"/>
    </row>
    <row r="35" spans="3:18" s="111" customFormat="1" x14ac:dyDescent="0.25">
      <c r="I35" s="113"/>
      <c r="J35" s="114"/>
    </row>
    <row r="36" spans="3:18" s="111" customFormat="1" x14ac:dyDescent="0.25">
      <c r="I36" s="113"/>
      <c r="J36" s="114"/>
    </row>
    <row r="37" spans="3:18" s="111" customFormat="1" x14ac:dyDescent="0.25">
      <c r="I37" s="113"/>
      <c r="J37" s="114"/>
    </row>
    <row r="38" spans="3:18" s="111" customFormat="1" x14ac:dyDescent="0.25">
      <c r="I38" s="113"/>
      <c r="J38" s="114"/>
    </row>
    <row r="39" spans="3:18" s="111" customFormat="1" x14ac:dyDescent="0.25">
      <c r="I39" s="113"/>
      <c r="J39" s="114"/>
    </row>
    <row r="40" spans="3:18" s="111" customFormat="1" x14ac:dyDescent="0.25">
      <c r="I40" s="113"/>
      <c r="J40" s="114"/>
    </row>
    <row r="41" spans="3:18" s="111" customFormat="1" x14ac:dyDescent="0.25">
      <c r="I41" s="113"/>
      <c r="J41" s="114"/>
    </row>
    <row r="42" spans="3:18" s="111" customFormat="1" x14ac:dyDescent="0.25">
      <c r="I42" s="113"/>
      <c r="J42" s="114"/>
    </row>
    <row r="43" spans="3:18" s="111" customFormat="1" x14ac:dyDescent="0.25">
      <c r="I43" s="113"/>
      <c r="J43" s="114"/>
    </row>
    <row r="44" spans="3:18" s="111" customFormat="1" x14ac:dyDescent="0.25">
      <c r="I44" s="113"/>
      <c r="J44" s="114"/>
    </row>
    <row r="45" spans="3:18" s="111" customFormat="1" x14ac:dyDescent="0.25">
      <c r="I45" s="113"/>
      <c r="J45" s="114"/>
    </row>
    <row r="46" spans="3:18" s="111" customFormat="1" x14ac:dyDescent="0.25">
      <c r="I46" s="113"/>
      <c r="J46" s="114"/>
    </row>
    <row r="47" spans="3:18" s="111" customFormat="1" x14ac:dyDescent="0.25">
      <c r="I47" s="113"/>
      <c r="J47" s="114"/>
    </row>
    <row r="48" spans="3:18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D1:E1"/>
    <mergeCell ref="D2:E2"/>
    <mergeCell ref="Q2:Q9"/>
    <mergeCell ref="S2:T2"/>
    <mergeCell ref="U2:U9"/>
    <mergeCell ref="L25:N25"/>
    <mergeCell ref="X2:Y2"/>
    <mergeCell ref="D9:O9"/>
    <mergeCell ref="S9:T9"/>
    <mergeCell ref="X9:Y9"/>
    <mergeCell ref="L11:N11"/>
    <mergeCell ref="L12:N12"/>
  </mergeCells>
  <conditionalFormatting sqref="K14:K20">
    <cfRule type="iconSet" priority="15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16">
      <iconSet iconSet="3Symbols">
        <cfvo type="percent" val="0"/>
        <cfvo type="num" val="0" gte="0"/>
        <cfvo type="num" val="3"/>
      </iconSet>
    </cfRule>
  </conditionalFormatting>
  <conditionalFormatting sqref="K23">
    <cfRule type="iconSet" priority="14">
      <iconSet iconSet="3Symbols">
        <cfvo type="percent" val="0"/>
        <cfvo type="num" val="0" gte="0"/>
        <cfvo type="num" val="3"/>
      </iconSet>
    </cfRule>
  </conditionalFormatting>
  <conditionalFormatting sqref="K27:K33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K24:N24">
    <cfRule type="iconSet" priority="17">
      <iconSet iconSet="3Symbols">
        <cfvo type="percent" val="0"/>
        <cfvo type="num" val="0" gte="0"/>
        <cfvo type="num" val="3"/>
      </iconSet>
    </cfRule>
  </conditionalFormatting>
  <conditionalFormatting sqref="L14:M20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L23:M23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L27:M33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L21:N21">
    <cfRule type="iconSet" priority="18">
      <iconSet iconSet="3Symbols">
        <cfvo type="percent" val="0"/>
        <cfvo type="num" val="0" gte="0"/>
        <cfvo type="num" val="3"/>
      </iconSet>
    </cfRule>
  </conditionalFormatting>
  <conditionalFormatting sqref="N14:N20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N23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N27:N33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20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R23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7:R33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D4EC34DD-2433-4E29-B959-FB6D1107C64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9109-340A-435D-8E41-508BAEE73E86}">
  <sheetPr>
    <tabColor rgb="FFFF0000"/>
  </sheetPr>
  <dimension ref="A1:AD404"/>
  <sheetViews>
    <sheetView topLeftCell="B1" zoomScale="87" zoomScaleNormal="87" workbookViewId="0">
      <selection activeCell="N5" sqref="N5"/>
    </sheetView>
  </sheetViews>
  <sheetFormatPr baseColWidth="10" defaultRowHeight="15.75" x14ac:dyDescent="0.25"/>
  <cols>
    <col min="1" max="2" width="11.42578125" style="106"/>
    <col min="3" max="3" width="10.140625" style="106" customWidth="1"/>
    <col min="4" max="4" width="11.28515625" style="106" customWidth="1"/>
    <col min="5" max="5" width="15.7109375" style="106" customWidth="1"/>
    <col min="6" max="6" width="12.710937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3.425781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" style="106" customWidth="1"/>
    <col min="16" max="16" width="9.7109375" style="106" customWidth="1"/>
    <col min="17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51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18"/>
      <c r="P12" s="133" t="s">
        <v>46</v>
      </c>
      <c r="Q12" s="133"/>
      <c r="R12" s="13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9" t="s">
        <v>0</v>
      </c>
      <c r="D13" s="9" t="s">
        <v>11</v>
      </c>
      <c r="E13" s="9" t="s">
        <v>1</v>
      </c>
      <c r="F13" s="9" t="s">
        <v>50</v>
      </c>
      <c r="G13" s="9" t="s">
        <v>2</v>
      </c>
      <c r="H13" s="10" t="s">
        <v>12</v>
      </c>
      <c r="I13" s="11" t="s">
        <v>18</v>
      </c>
      <c r="J13" s="12" t="s">
        <v>4</v>
      </c>
      <c r="K13" s="118" t="s">
        <v>5</v>
      </c>
      <c r="L13" s="95" t="s">
        <v>6</v>
      </c>
      <c r="M13" s="95" t="s">
        <v>7</v>
      </c>
      <c r="N13" s="95" t="s">
        <v>8</v>
      </c>
      <c r="O13" s="135" t="s">
        <v>15</v>
      </c>
      <c r="P13" s="136" t="s">
        <v>45</v>
      </c>
      <c r="Q13" s="57" t="s">
        <v>4</v>
      </c>
      <c r="R13" s="137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14</v>
      </c>
      <c r="D14" s="14" t="s">
        <v>13</v>
      </c>
      <c r="E14" s="13">
        <v>945174408</v>
      </c>
      <c r="F14" s="71" t="s">
        <v>48</v>
      </c>
      <c r="G14" s="121" t="s">
        <v>42</v>
      </c>
      <c r="H14" s="16" t="s">
        <v>24</v>
      </c>
      <c r="I14" s="17">
        <v>6</v>
      </c>
      <c r="J14" s="49" t="s">
        <v>44</v>
      </c>
      <c r="K14" s="92">
        <f ca="1">J14-K$12</f>
        <v>-224</v>
      </c>
      <c r="L14" s="101" t="str">
        <f ca="1">HYPERLINK("https://api.whatsapp.com/send?phone="&amp;E14&amp;"&amp;text="&amp;(IF(K14&lt;=0,"🚨 Hola, *"&amp;D14&amp;".*"&amp;"%0A"&amp;"Su cuenta de Claro Video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*CLARO VIDEO*")),"💰")</f>
        <v>💰</v>
      </c>
      <c r="M14" s="101" t="str">
        <f>HYPERLINK("https://api.whatsapp.com/send?phone="&amp;E14&amp;"&amp;text=*🔴 Cambio de contraseña: Claro Video*"&amp;"%0A"&amp;"%0A"&amp;"💻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CLARO VIDEO*"&amp;"%0A"&amp;"%0A"&amp;"*📧 Correo:* "&amp;G14&amp;"%0A"&amp;"*🔑 Contraseña:* "&amp;H14&amp;"%0A"&amp;"%0A"&amp;"*🖥 Perfil:* "&amp;C14&amp;"%0A"&amp;"%0A"&amp;"*📍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72"/>
      <c r="G15" s="72"/>
      <c r="H15" s="23"/>
      <c r="I15" s="24"/>
      <c r="J15" s="51"/>
      <c r="K15" s="93">
        <f ca="1">J15-K$12</f>
        <v>-45392</v>
      </c>
      <c r="L15" s="101" t="str">
        <f t="shared" ref="L15:L18" ca="1" si="0">HYPERLINK("https://api.whatsapp.com/send?phone="&amp;E15&amp;"&amp;text="&amp;(IF(K15&lt;=0,"🚨 Hola, *"&amp;D15&amp;".*"&amp;"%0A"&amp;"Su cuenta de Claro Video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*CLARO VIDEO*")),"💰")</f>
        <v>💰</v>
      </c>
      <c r="M15" s="101" t="str">
        <f t="shared" ref="M15:M18" si="1">HYPERLINK("https://api.whatsapp.com/send?phone="&amp;E15&amp;"&amp;text=*🔴 Cambio de contraseña: Claro Video*"&amp;"%0A"&amp;"%0A"&amp;"💻 Correo: *"&amp;G15&amp;"*"&amp;"%0A"&amp;"🔐 Nueva Contraseña: *"&amp;H15&amp;"*","🔐")</f>
        <v>🔐</v>
      </c>
      <c r="N15" s="101" t="str">
        <f t="shared" ref="N15:N18" si="2">HYPERLINK("https://api.whatsapp.com/send?phone=51"&amp;E15&amp;"&amp;text=*🔴 CLARO VIDEO*"&amp;"%0A"&amp;"%0A"&amp;"*📧 Correo:* "&amp;G15&amp;"%0A"&amp;"*🔑 Contraseña:* "&amp;H15&amp;"%0A"&amp;"%0A"&amp;"*🖥 Perfil:* "&amp;C15&amp;"%0A"&amp;"%0A"&amp;"*📍 Vence:* "&amp;J15,"💻")</f>
        <v>💻</v>
      </c>
      <c r="O15" s="22"/>
      <c r="P15" s="24"/>
      <c r="Q15" s="59" t="s">
        <v>17</v>
      </c>
      <c r="R15" s="138">
        <f ca="1">Q15-TODAY()</f>
        <v>-193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72"/>
      <c r="G16" s="72"/>
      <c r="H16" s="23"/>
      <c r="I16" s="26"/>
      <c r="J16" s="51"/>
      <c r="K16" s="93">
        <f t="shared" ref="K16:K17" ca="1" si="3">J16-K$12</f>
        <v>-45392</v>
      </c>
      <c r="L16" s="10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 t="s">
        <v>17</v>
      </c>
      <c r="R16" s="138">
        <f ca="1">Q16-TODAY()</f>
        <v>-193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73"/>
      <c r="G17" s="72"/>
      <c r="H17" s="23"/>
      <c r="I17" s="26"/>
      <c r="J17" s="51"/>
      <c r="K17" s="93">
        <f t="shared" ca="1" si="3"/>
        <v>-45392</v>
      </c>
      <c r="L17" s="10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 t="s">
        <v>17</v>
      </c>
      <c r="R17" s="138">
        <f ca="1">Q17-TODAY()</f>
        <v>-193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27"/>
      <c r="D18" s="28"/>
      <c r="E18" s="27"/>
      <c r="F18" s="74"/>
      <c r="G18" s="120"/>
      <c r="H18" s="30"/>
      <c r="I18" s="31"/>
      <c r="J18" s="60"/>
      <c r="K18" s="94">
        <f ca="1">J18-K$12</f>
        <v>-45392</v>
      </c>
      <c r="L18" s="10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9"/>
      <c r="P18" s="77"/>
      <c r="Q18" s="53" t="s">
        <v>17</v>
      </c>
      <c r="R18" s="139">
        <f ca="1">Q18-TODAY()</f>
        <v>-193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42"/>
      <c r="D19" s="42"/>
      <c r="E19" s="42"/>
      <c r="F19" s="42"/>
      <c r="G19" s="42"/>
      <c r="H19" s="42"/>
      <c r="I19" s="42"/>
      <c r="J19" s="42"/>
      <c r="K19" s="47"/>
      <c r="L19" s="48"/>
      <c r="M19" s="48"/>
      <c r="N19" s="48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9" t="s">
        <v>11</v>
      </c>
      <c r="E20" s="9" t="s">
        <v>1</v>
      </c>
      <c r="F20" s="9" t="s">
        <v>50</v>
      </c>
      <c r="G20" s="9" t="s">
        <v>2</v>
      </c>
      <c r="H20" s="9" t="s">
        <v>12</v>
      </c>
      <c r="I20" s="11" t="s">
        <v>18</v>
      </c>
      <c r="J20" s="12" t="s">
        <v>4</v>
      </c>
      <c r="K20" s="118" t="s">
        <v>5</v>
      </c>
      <c r="L20" s="95" t="s">
        <v>6</v>
      </c>
      <c r="M20" s="95" t="s">
        <v>7</v>
      </c>
      <c r="N20" s="95" t="s">
        <v>8</v>
      </c>
      <c r="O20" s="147" t="s">
        <v>15</v>
      </c>
      <c r="P20" s="148" t="s">
        <v>45</v>
      </c>
      <c r="Q20" s="57" t="s">
        <v>4</v>
      </c>
      <c r="R20" s="137" t="s">
        <v>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32" t="s">
        <v>13</v>
      </c>
      <c r="E21" s="32">
        <v>945174408</v>
      </c>
      <c r="F21" s="85">
        <v>111</v>
      </c>
      <c r="G21" s="122" t="s">
        <v>43</v>
      </c>
      <c r="H21" s="35" t="s">
        <v>24</v>
      </c>
      <c r="I21" s="36">
        <v>45</v>
      </c>
      <c r="J21" s="50" t="s">
        <v>44</v>
      </c>
      <c r="K21" s="96">
        <f ca="1">J21-K$12</f>
        <v>-224</v>
      </c>
      <c r="L21" s="101" t="str">
        <f ca="1">HYPERLINK("https://api.whatsapp.com/send?phone="&amp;E21&amp;"&amp;text="&amp;(IF(K21&lt;=0,"🚨 Hola, *"&amp;D21&amp;".*"&amp;"%0A"&amp;"Su cuenta de Claro Video vencio, Porfavor renueve si aun desea el servicio."&amp;"%0A"&amp;"*Tiene todo el dia para realizar el pago de lo contrario al dia siguiente sera suspendida*"&amp;"%0A"&amp;"*GRACIAS*","*MENSAJE RECORDATORIO 🚨*"&amp;"%0A"&amp;"%0A"&amp;"Hola, "&amp;D21&amp;"."&amp;"%0A"&amp;"Te quedan "&amp;K21&amp;" Dias restantes para renovar su cuenta de *CLARO VIDEO*")),"💰")</f>
        <v>💰</v>
      </c>
      <c r="M21" s="101" t="str">
        <f>HYPERLINK("https://api.whatsapp.com/send?phone="&amp;E21&amp;"&amp;text=*🔴 Cambio de contraseña: Claro Video*"&amp;"%0A"&amp;"%0A"&amp;"💻 Correo: *"&amp;G21&amp;"*"&amp;"%0A"&amp;"🔐 Nueva Contraseña: *"&amp;H21&amp;"*","🔐")</f>
        <v>🔐</v>
      </c>
      <c r="N21" s="101" t="str">
        <f>HYPERLINK("https://api.whatsapp.com/send?phone=51"&amp;E21&amp;"&amp;text=*🔴 CLARO VIDEO COMPLETO*"&amp;"%0A"&amp;"%0A"&amp;"*📧 Correo:* "&amp;G21&amp;"%0A"&amp;"*🔑 Contraseña:* "&amp;H21&amp;"%0A"&amp;"%0A"&amp;"*🖥 Perfil:* "&amp;D21&amp;"%0A"&amp;"%0A"&amp;"*📍 Vence:* "&amp;J21,"💻")</f>
        <v>💻</v>
      </c>
      <c r="O21" s="34" t="s">
        <v>22</v>
      </c>
      <c r="P21" s="142">
        <v>8</v>
      </c>
      <c r="Q21" s="143" t="s">
        <v>17</v>
      </c>
      <c r="R21" s="144">
        <f ca="1">Q21-TODAY()</f>
        <v>-193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42"/>
      <c r="E22" s="42"/>
      <c r="F22" s="42"/>
      <c r="G22" s="44"/>
      <c r="H22" s="42"/>
      <c r="I22" s="45"/>
      <c r="J22" s="46"/>
      <c r="K22" s="47"/>
      <c r="L22" s="48"/>
      <c r="M22" s="48"/>
      <c r="N22" s="48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5"/>
      <c r="D23" s="5"/>
      <c r="E23" s="5"/>
      <c r="F23" s="5"/>
      <c r="G23" s="5"/>
      <c r="H23" s="5"/>
      <c r="I23" s="6"/>
      <c r="J23" s="7"/>
      <c r="K23" s="8">
        <f ca="1">TODAY()</f>
        <v>45392</v>
      </c>
      <c r="L23" s="230" t="s">
        <v>9</v>
      </c>
      <c r="M23" s="231"/>
      <c r="N23" s="235"/>
      <c r="O23" s="118"/>
      <c r="P23" s="133" t="s">
        <v>46</v>
      </c>
      <c r="Q23" s="133"/>
      <c r="R23" s="134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9" t="s">
        <v>0</v>
      </c>
      <c r="D24" s="9" t="s">
        <v>11</v>
      </c>
      <c r="E24" s="9" t="s">
        <v>1</v>
      </c>
      <c r="F24" s="9" t="s">
        <v>50</v>
      </c>
      <c r="G24" s="9" t="s">
        <v>2</v>
      </c>
      <c r="H24" s="10" t="s">
        <v>12</v>
      </c>
      <c r="I24" s="11" t="s">
        <v>18</v>
      </c>
      <c r="J24" s="12" t="s">
        <v>4</v>
      </c>
      <c r="K24" s="118" t="s">
        <v>5</v>
      </c>
      <c r="L24" s="95" t="s">
        <v>6</v>
      </c>
      <c r="M24" s="95" t="s">
        <v>7</v>
      </c>
      <c r="N24" s="95" t="s">
        <v>8</v>
      </c>
      <c r="O24" s="135" t="s">
        <v>15</v>
      </c>
      <c r="P24" s="136" t="s">
        <v>45</v>
      </c>
      <c r="Q24" s="57" t="s">
        <v>4</v>
      </c>
      <c r="R24" s="137" t="s">
        <v>5</v>
      </c>
    </row>
    <row r="25" spans="1:30" s="111" customFormat="1" x14ac:dyDescent="0.25">
      <c r="C25" s="13"/>
      <c r="D25" s="14"/>
      <c r="E25" s="13"/>
      <c r="F25" s="71"/>
      <c r="G25" s="121"/>
      <c r="H25" s="16"/>
      <c r="I25" s="17"/>
      <c r="J25" s="49"/>
      <c r="K25" s="92">
        <f ca="1">J25-K$12</f>
        <v>-45392</v>
      </c>
      <c r="L25" s="101" t="str">
        <f ca="1">HYPERLINK("https://api.whatsapp.com/send?phone="&amp;E25&amp;"&amp;text="&amp;(IF(K25&lt;=0,"🚨 Hola, *"&amp;D25&amp;".*"&amp;"%0A"&amp;"Su cuenta de Claro Video vencio, Porfavor renueve si aun desea el servicio."&amp;"%0A"&amp;"*Tiene todo el dia para realizar el pago de lo contrario al dia siguiente sera suspendida*"&amp;"%0A"&amp;"*GRACIAS*","*MENSAJE RECORDATORIO 🚨*"&amp;"%0A"&amp;"%0A"&amp;"Hola, "&amp;D25&amp;"."&amp;"%0A"&amp;"Te quedan "&amp;K25&amp;" Dias restantes para renovar su cuenta de *CLARO VIDEO*")),"💰")</f>
        <v>💰</v>
      </c>
      <c r="M25" s="101" t="str">
        <f>HYPERLINK("https://api.whatsapp.com/send?phone="&amp;E25&amp;"&amp;text=*🔴 Cambio de contraseña: Claro Video*"&amp;"%0A"&amp;"%0A"&amp;"💻 Correo: *"&amp;G25&amp;"*"&amp;"%0A"&amp;"🔐 Nueva Contraseña: *"&amp;H25&amp;"*","🔐")</f>
        <v>🔐</v>
      </c>
      <c r="N25" s="101" t="str">
        <f>HYPERLINK("https://api.whatsapp.com/send?phone=51"&amp;E25&amp;"&amp;text=*🔴 CLARO VIDEO*"&amp;"%0A"&amp;"%0A"&amp;"*📧 Correo:* "&amp;G25&amp;"%0A"&amp;"*🔑 Contraseña:* "&amp;H25&amp;"%0A"&amp;"%0A"&amp;"*🖥 Perfil:* "&amp;C25&amp;"%0A"&amp;"%0A"&amp;"*📍 Vence:* "&amp;J25,"💻")</f>
        <v>💻</v>
      </c>
      <c r="O25" s="15"/>
      <c r="P25" s="141"/>
      <c r="Q25" s="58"/>
      <c r="R25" s="138">
        <f ca="1">Q25-TODAY()</f>
        <v>-45392</v>
      </c>
    </row>
    <row r="26" spans="1:30" s="111" customFormat="1" x14ac:dyDescent="0.25">
      <c r="C26" s="19"/>
      <c r="D26" s="20"/>
      <c r="E26" s="19"/>
      <c r="F26" s="72"/>
      <c r="G26" s="72"/>
      <c r="H26" s="23"/>
      <c r="I26" s="24"/>
      <c r="J26" s="51"/>
      <c r="K26" s="93">
        <f ca="1">J26-K$12</f>
        <v>-45392</v>
      </c>
      <c r="L26" s="101" t="str">
        <f t="shared" ref="L26:L29" ca="1" si="4">HYPERLINK("https://api.whatsapp.com/send?phone="&amp;E26&amp;"&amp;text="&amp;(IF(K26&lt;=0,"🚨 Hola, *"&amp;D26&amp;".*"&amp;"%0A"&amp;"Su cuenta de Claro Video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*CLARO VIDEO*")),"💰")</f>
        <v>💰</v>
      </c>
      <c r="M26" s="101" t="str">
        <f t="shared" ref="M26:M29" si="5">HYPERLINK("https://api.whatsapp.com/send?phone="&amp;E26&amp;"&amp;text=*🔴 Cambio de contraseña: Claro Video*"&amp;"%0A"&amp;"%0A"&amp;"💻 Correo: *"&amp;G26&amp;"*"&amp;"%0A"&amp;"🔐 Nueva Contraseña: *"&amp;H26&amp;"*","🔐")</f>
        <v>🔐</v>
      </c>
      <c r="N26" s="101" t="str">
        <f t="shared" ref="N26:N29" si="6">HYPERLINK("https://api.whatsapp.com/send?phone=51"&amp;E26&amp;"&amp;text=*🔴 CLARO VIDEO*"&amp;"%0A"&amp;"%0A"&amp;"*📧 Correo:* "&amp;G26&amp;"%0A"&amp;"*🔑 Contraseña:* "&amp;H26&amp;"%0A"&amp;"%0A"&amp;"*🖥 Perfil:* "&amp;C26&amp;"%0A"&amp;"%0A"&amp;"*📍 Vence:* "&amp;J26,"💻")</f>
        <v>💻</v>
      </c>
      <c r="O26" s="22"/>
      <c r="P26" s="24"/>
      <c r="Q26" s="59"/>
      <c r="R26" s="138">
        <f ca="1">Q26-TODAY()</f>
        <v>-45392</v>
      </c>
    </row>
    <row r="27" spans="1:30" s="111" customFormat="1" x14ac:dyDescent="0.25">
      <c r="C27" s="19"/>
      <c r="D27" s="20"/>
      <c r="E27" s="19"/>
      <c r="F27" s="72"/>
      <c r="G27" s="72"/>
      <c r="H27" s="23"/>
      <c r="I27" s="26"/>
      <c r="J27" s="51"/>
      <c r="K27" s="93">
        <f t="shared" ref="K27:K28" ca="1" si="7">J27-K$12</f>
        <v>-45392</v>
      </c>
      <c r="L27" s="101" t="str">
        <f t="shared" ca="1" si="4"/>
        <v>💰</v>
      </c>
      <c r="M27" s="101" t="str">
        <f t="shared" si="5"/>
        <v>🔐</v>
      </c>
      <c r="N27" s="101" t="str">
        <f t="shared" si="6"/>
        <v>💻</v>
      </c>
      <c r="O27" s="22"/>
      <c r="P27" s="24"/>
      <c r="Q27" s="52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73"/>
      <c r="G28" s="72"/>
      <c r="H28" s="23"/>
      <c r="I28" s="26"/>
      <c r="J28" s="51"/>
      <c r="K28" s="93">
        <f t="shared" ca="1" si="7"/>
        <v>-45392</v>
      </c>
      <c r="L28" s="101" t="str">
        <f t="shared" ca="1" si="4"/>
        <v>💰</v>
      </c>
      <c r="M28" s="101" t="str">
        <f t="shared" si="5"/>
        <v>🔐</v>
      </c>
      <c r="N28" s="101" t="str">
        <f t="shared" si="6"/>
        <v>💻</v>
      </c>
      <c r="O28" s="22"/>
      <c r="P28" s="24"/>
      <c r="Q28" s="52"/>
      <c r="R28" s="138">
        <f ca="1">Q28-TODAY()</f>
        <v>-45392</v>
      </c>
    </row>
    <row r="29" spans="1:30" s="111" customFormat="1" ht="16.5" thickBot="1" x14ac:dyDescent="0.3">
      <c r="C29" s="27"/>
      <c r="D29" s="28"/>
      <c r="E29" s="27"/>
      <c r="F29" s="74"/>
      <c r="G29" s="120"/>
      <c r="H29" s="30"/>
      <c r="I29" s="31"/>
      <c r="J29" s="60"/>
      <c r="K29" s="94">
        <f ca="1">J29-K$12</f>
        <v>-45392</v>
      </c>
      <c r="L29" s="101" t="str">
        <f t="shared" ca="1" si="4"/>
        <v>💰</v>
      </c>
      <c r="M29" s="101" t="str">
        <f t="shared" si="5"/>
        <v>🔐</v>
      </c>
      <c r="N29" s="101" t="str">
        <f t="shared" si="6"/>
        <v>💻</v>
      </c>
      <c r="O29" s="29"/>
      <c r="P29" s="77"/>
      <c r="Q29" s="53"/>
      <c r="R29" s="139">
        <f ca="1">Q29-TODAY()</f>
        <v>-45392</v>
      </c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L11:N11"/>
    <mergeCell ref="L12:N12"/>
    <mergeCell ref="L23:N23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:K19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K22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5:K29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L21:N21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2:N22 L14:N19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L25:N29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R14:R18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1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5:R29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DC00C855-1742-408C-A4DC-E485A8CAF8C2}"/>
    <hyperlink ref="G21" r:id="rId2" xr:uid="{54886259-853B-4E07-B56E-98E3162AF961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4158-845D-46D3-9261-4845C974BC76}">
  <sheetPr>
    <tabColor rgb="FF0070C0"/>
  </sheetPr>
  <dimension ref="A1:AD404"/>
  <sheetViews>
    <sheetView zoomScale="86" zoomScaleNormal="86" workbookViewId="0">
      <selection activeCell="O7" sqref="O7"/>
    </sheetView>
  </sheetViews>
  <sheetFormatPr baseColWidth="10" defaultRowHeight="15.75" x14ac:dyDescent="0.25"/>
  <cols>
    <col min="1" max="2" width="11.42578125" style="106"/>
    <col min="3" max="3" width="10.28515625" style="106" customWidth="1"/>
    <col min="4" max="4" width="11.140625" style="106" customWidth="1"/>
    <col min="5" max="5" width="12.7109375" style="106" customWidth="1"/>
    <col min="6" max="6" width="9.140625" style="106" customWidth="1"/>
    <col min="7" max="7" width="29.85546875" style="106" customWidth="1"/>
    <col min="8" max="8" width="14" style="106" customWidth="1"/>
    <col min="9" max="9" width="8.5703125" style="115" customWidth="1"/>
    <col min="10" max="10" width="12.1406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2.85546875" style="106" customWidth="1"/>
    <col min="16" max="16" width="9.140625" style="106" customWidth="1"/>
    <col min="17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3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25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19"/>
      <c r="P12" s="151" t="s">
        <v>47</v>
      </c>
      <c r="Q12" s="151"/>
      <c r="R12" s="152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38" t="s">
        <v>0</v>
      </c>
      <c r="D13" s="38" t="s">
        <v>11</v>
      </c>
      <c r="E13" s="38" t="s">
        <v>1</v>
      </c>
      <c r="F13" s="38" t="s">
        <v>10</v>
      </c>
      <c r="G13" s="38" t="s">
        <v>2</v>
      </c>
      <c r="H13" s="39" t="s">
        <v>12</v>
      </c>
      <c r="I13" s="40" t="s">
        <v>18</v>
      </c>
      <c r="J13" s="41" t="s">
        <v>4</v>
      </c>
      <c r="K13" s="119" t="s">
        <v>5</v>
      </c>
      <c r="L13" s="95" t="s">
        <v>6</v>
      </c>
      <c r="M13" s="95" t="s">
        <v>7</v>
      </c>
      <c r="N13" s="95" t="s">
        <v>8</v>
      </c>
      <c r="O13" s="153" t="s">
        <v>15</v>
      </c>
      <c r="P13" s="154" t="s">
        <v>45</v>
      </c>
      <c r="Q13" s="155" t="s">
        <v>4</v>
      </c>
      <c r="R13" s="156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14</v>
      </c>
      <c r="D14" s="14" t="s">
        <v>13</v>
      </c>
      <c r="E14" s="13">
        <v>945174408</v>
      </c>
      <c r="F14" s="71">
        <v>2587</v>
      </c>
      <c r="G14" s="15" t="s">
        <v>19</v>
      </c>
      <c r="H14" s="16" t="s">
        <v>24</v>
      </c>
      <c r="I14" s="17">
        <v>7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Disney Plus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*Disney Plus*")),"💰")</f>
        <v>💰</v>
      </c>
      <c r="M14" s="101" t="str">
        <f>HYPERLINK("https://api.whatsapp.com/send?phone="&amp;E14&amp;"&amp;text=*🔴 Cambio de Contraseña: Disney Plus*"&amp;"%0A"&amp;"%0A"&amp;"💻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DISNEY PLUS*"&amp;"%0A"&amp;"%0A"&amp;"*📧 Correo:* "&amp;G14&amp;"%0A"&amp;"*🔑 Contraseña:* "&amp;H14&amp;"%0A"&amp;"%0A"&amp;"*🖥 Perfil:* "&amp;C14&amp;" - "&amp;F14&amp;"%0A"&amp;"%0A"&amp;"*📍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3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72"/>
      <c r="G15" s="22"/>
      <c r="H15" s="23"/>
      <c r="I15" s="24"/>
      <c r="J15" s="51"/>
      <c r="K15" s="93">
        <f ca="1">J15-K$12</f>
        <v>-45392</v>
      </c>
      <c r="L15" s="131" t="str">
        <f t="shared" ref="L15:L20" ca="1" si="0">HYPERLINK("https://api.whatsapp.com/send?phone="&amp;E15&amp;"&amp;text="&amp;(IF(K15&lt;=0,"🚨 Hola, *"&amp;D15&amp;".*"&amp;"%0A"&amp;"Su cuenta de Disney Plus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*Disney Plus*")),"💰")</f>
        <v>💰</v>
      </c>
      <c r="M15" s="101" t="str">
        <f t="shared" ref="M15:M20" si="1">HYPERLINK("https://api.whatsapp.com/send?phone="&amp;E15&amp;"&amp;text=*🔴 Cambio de Contraseña: Disney Plus*"&amp;"%0A"&amp;"%0A"&amp;"💻 Correo: *"&amp;G15&amp;"*"&amp;"%0A"&amp;"🔐 Nueva Contraseña: *"&amp;H15&amp;"*","🔐")</f>
        <v>🔐</v>
      </c>
      <c r="N15" s="101" t="str">
        <f t="shared" ref="N15:N20" si="2">HYPERLINK("https://api.whatsapp.com/send?phone=51"&amp;E15&amp;"&amp;text=*🔴 DISNEY PLUS*"&amp;"%0A"&amp;"%0A"&amp;"*📧 Correo:* "&amp;G15&amp;"%0A"&amp;"*🔑 Contraseña:* "&amp;H15&amp;"%0A"&amp;"%0A"&amp;"*🖥 Perfil:* "&amp;C15&amp;" - "&amp;F15&amp;"%0A"&amp;"%0A"&amp;"*📍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72"/>
      <c r="G16" s="22"/>
      <c r="H16" s="23"/>
      <c r="I16" s="26"/>
      <c r="J16" s="51"/>
      <c r="K16" s="93">
        <f t="shared" ref="K16:K17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73"/>
      <c r="G17" s="22"/>
      <c r="H17" s="23"/>
      <c r="I17" s="26"/>
      <c r="J17" s="51"/>
      <c r="K17" s="93">
        <f t="shared" ca="1" si="3"/>
        <v>-45392</v>
      </c>
      <c r="L17" s="13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9"/>
      <c r="D18" s="20"/>
      <c r="E18" s="19"/>
      <c r="F18" s="73"/>
      <c r="G18" s="22"/>
      <c r="H18" s="23"/>
      <c r="I18" s="26"/>
      <c r="J18" s="51"/>
      <c r="K18" s="93">
        <f ca="1">J18-K$12</f>
        <v>-45392</v>
      </c>
      <c r="L18" s="13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2"/>
      <c r="P18" s="24"/>
      <c r="Q18" s="52"/>
      <c r="R18" s="138">
        <f t="shared" ref="R18:R20" ca="1" si="4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x14ac:dyDescent="0.25">
      <c r="A19" s="1"/>
      <c r="B19" s="1"/>
      <c r="C19" s="19"/>
      <c r="D19" s="19"/>
      <c r="E19" s="19"/>
      <c r="F19" s="73"/>
      <c r="G19" s="19"/>
      <c r="H19" s="19"/>
      <c r="I19" s="19"/>
      <c r="J19" s="52"/>
      <c r="K19" s="93">
        <f t="shared" ref="K19:K20" ca="1" si="5">J19-K$12</f>
        <v>-45392</v>
      </c>
      <c r="L19" s="131" t="str">
        <f t="shared" ca="1" si="0"/>
        <v>💰</v>
      </c>
      <c r="M19" s="101" t="str">
        <f t="shared" si="1"/>
        <v>🔐</v>
      </c>
      <c r="N19" s="101" t="str">
        <f t="shared" si="2"/>
        <v>💻</v>
      </c>
      <c r="O19" s="22"/>
      <c r="P19" s="24"/>
      <c r="Q19" s="52"/>
      <c r="R19" s="138">
        <f t="shared" ca="1" si="4"/>
        <v>-45392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27"/>
      <c r="D20" s="27"/>
      <c r="E20" s="27"/>
      <c r="F20" s="74"/>
      <c r="G20" s="27"/>
      <c r="H20" s="27"/>
      <c r="I20" s="27"/>
      <c r="J20" s="53"/>
      <c r="K20" s="94">
        <f t="shared" ca="1" si="5"/>
        <v>-45392</v>
      </c>
      <c r="L20" s="131" t="str">
        <f t="shared" ca="1" si="0"/>
        <v>💰</v>
      </c>
      <c r="M20" s="101" t="str">
        <f t="shared" si="1"/>
        <v>🔐</v>
      </c>
      <c r="N20" s="101" t="str">
        <f t="shared" si="2"/>
        <v>💻</v>
      </c>
      <c r="O20" s="29"/>
      <c r="P20" s="77"/>
      <c r="Q20" s="53"/>
      <c r="R20" s="139">
        <f t="shared" ca="1" si="4"/>
        <v>-45392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42"/>
      <c r="E21" s="42"/>
      <c r="F21" s="43"/>
      <c r="G21" s="44"/>
      <c r="H21" s="42"/>
      <c r="I21" s="45"/>
      <c r="J21" s="47"/>
      <c r="K21" s="47"/>
      <c r="L21" s="48"/>
      <c r="M21" s="48"/>
      <c r="N21" s="48"/>
      <c r="O21" s="1"/>
      <c r="P21" s="145"/>
      <c r="Q21" s="146"/>
      <c r="R21" s="3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38" t="s">
        <v>11</v>
      </c>
      <c r="E22" s="38" t="s">
        <v>1</v>
      </c>
      <c r="F22" s="38" t="s">
        <v>10</v>
      </c>
      <c r="G22" s="38" t="s">
        <v>2</v>
      </c>
      <c r="H22" s="38" t="s">
        <v>12</v>
      </c>
      <c r="I22" s="40" t="s">
        <v>18</v>
      </c>
      <c r="J22" s="61" t="s">
        <v>4</v>
      </c>
      <c r="K22" s="119" t="s">
        <v>5</v>
      </c>
      <c r="L22" s="95" t="s">
        <v>6</v>
      </c>
      <c r="M22" s="95" t="s">
        <v>7</v>
      </c>
      <c r="N22" s="95" t="s">
        <v>8</v>
      </c>
      <c r="O22" s="158" t="s">
        <v>15</v>
      </c>
      <c r="P22" s="159" t="s">
        <v>45</v>
      </c>
      <c r="Q22" s="155" t="s">
        <v>4</v>
      </c>
      <c r="R22" s="156" t="s"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42"/>
      <c r="D23" s="32" t="s">
        <v>13</v>
      </c>
      <c r="E23" s="32">
        <v>945174408</v>
      </c>
      <c r="F23" s="85"/>
      <c r="G23" s="34" t="s">
        <v>20</v>
      </c>
      <c r="H23" s="35" t="s">
        <v>24</v>
      </c>
      <c r="I23" s="36">
        <v>18</v>
      </c>
      <c r="J23" s="50" t="s">
        <v>44</v>
      </c>
      <c r="K23" s="96">
        <f ca="1">J23-K$12</f>
        <v>-224</v>
      </c>
      <c r="L23" s="131" t="str">
        <f ca="1">HYPERLINK("https://api.whatsapp.com/send?phone="&amp;E23&amp;"&amp;text="&amp;(IF(K23&lt;=0,"🚨 Hola, *"&amp;D23&amp;".*"&amp;"%0A"&amp;"Su cuenta de Disney Plus vencio, Porfavor renueve si aun desea el servicio."&amp;"%0A"&amp;"*Tiene todo el dia para realizar el pago de lo contrario al dia siguiente sera suspendida*"&amp;"%0A"&amp;"*GRACIAS*","*MENSAJE RECORDATORIO 🚨*"&amp;"%0A"&amp;"%0A"&amp;"Hola, "&amp;D23&amp;"."&amp;"%0A"&amp;"Te quedan "&amp;K23&amp;" Dias restantes para renovar su cuenta de *Disney Plus*")),"💰")</f>
        <v>💰</v>
      </c>
      <c r="M23" s="101" t="str">
        <f>HYPERLINK("https://api.whatsapp.com/send?phone="&amp;E23&amp;"&amp;text=*🔴 Cambio de Contraseña: Disney Plus*"&amp;"%0A"&amp;"%0A"&amp;"💻 Correo: *"&amp;G23&amp;"*"&amp;"%0A"&amp;"🔐 Nueva Contraseña: *"&amp;H23&amp;"*","🔐")</f>
        <v>🔐</v>
      </c>
      <c r="N23" s="101" t="str">
        <f>HYPERLINK("https://api.whatsapp.com/send?phone=51"&amp;E23&amp;"&amp;text=*🔴 DISNEY PLUS COMPLETO*"&amp;"%0A"&amp;"%0A"&amp;"*📧 Correo:* "&amp;G23&amp;"%0A"&amp;"*🔑 Contraseña:* "&amp;H23&amp;"%0A"&amp;"%0A"&amp;"*🖥 Perfil:* "&amp;D23&amp;"%0A"&amp;"%0A"&amp;"*📍 Vence:* "&amp;J23,"💻")</f>
        <v>💻</v>
      </c>
      <c r="O23" s="34" t="s">
        <v>22</v>
      </c>
      <c r="P23" s="142">
        <v>8</v>
      </c>
      <c r="Q23" s="143" t="s">
        <v>17</v>
      </c>
      <c r="R23" s="144">
        <f ca="1">Q23-TODAY()</f>
        <v>-193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42"/>
      <c r="D24" s="42"/>
      <c r="E24" s="42"/>
      <c r="F24" s="42"/>
      <c r="G24" s="44"/>
      <c r="H24" s="42"/>
      <c r="I24" s="45"/>
      <c r="J24" s="46"/>
      <c r="K24" s="47"/>
      <c r="L24" s="48"/>
      <c r="M24" s="48"/>
      <c r="N24" s="48"/>
    </row>
    <row r="25" spans="1:30" s="111" customFormat="1" ht="16.5" thickBot="1" x14ac:dyDescent="0.3">
      <c r="C25" s="5"/>
      <c r="D25" s="5"/>
      <c r="E25" s="5"/>
      <c r="F25" s="5"/>
      <c r="G25" s="5"/>
      <c r="H25" s="5"/>
      <c r="I25" s="6"/>
      <c r="J25" s="7"/>
      <c r="K25" s="8">
        <f ca="1">TODAY()</f>
        <v>45392</v>
      </c>
      <c r="L25" s="230" t="s">
        <v>9</v>
      </c>
      <c r="M25" s="231"/>
      <c r="N25" s="235"/>
      <c r="O25" s="119"/>
      <c r="P25" s="151" t="s">
        <v>47</v>
      </c>
      <c r="Q25" s="151"/>
      <c r="R25" s="152"/>
    </row>
    <row r="26" spans="1:30" s="111" customFormat="1" ht="16.5" thickBot="1" x14ac:dyDescent="0.3">
      <c r="C26" s="38" t="s">
        <v>0</v>
      </c>
      <c r="D26" s="38" t="s">
        <v>11</v>
      </c>
      <c r="E26" s="38" t="s">
        <v>1</v>
      </c>
      <c r="F26" s="38" t="s">
        <v>10</v>
      </c>
      <c r="G26" s="38" t="s">
        <v>2</v>
      </c>
      <c r="H26" s="39" t="s">
        <v>12</v>
      </c>
      <c r="I26" s="40" t="s">
        <v>18</v>
      </c>
      <c r="J26" s="41" t="s">
        <v>4</v>
      </c>
      <c r="K26" s="119" t="s">
        <v>5</v>
      </c>
      <c r="L26" s="95" t="s">
        <v>6</v>
      </c>
      <c r="M26" s="95" t="s">
        <v>7</v>
      </c>
      <c r="N26" s="95" t="s">
        <v>8</v>
      </c>
      <c r="O26" s="153" t="s">
        <v>15</v>
      </c>
      <c r="P26" s="154" t="s">
        <v>45</v>
      </c>
      <c r="Q26" s="155" t="s">
        <v>4</v>
      </c>
      <c r="R26" s="156" t="s">
        <v>5</v>
      </c>
    </row>
    <row r="27" spans="1:30" s="111" customFormat="1" x14ac:dyDescent="0.25">
      <c r="C27" s="13"/>
      <c r="D27" s="14"/>
      <c r="E27" s="13"/>
      <c r="F27" s="71"/>
      <c r="G27" s="15"/>
      <c r="H27" s="16"/>
      <c r="I27" s="17"/>
      <c r="J27" s="49"/>
      <c r="K27" s="92">
        <f ca="1">J27-K$12</f>
        <v>-45392</v>
      </c>
      <c r="L27" s="131" t="str">
        <f ca="1">HYPERLINK("https://api.whatsapp.com/send?phone="&amp;E27&amp;"&amp;text="&amp;(IF(K27&lt;=0,"🚨 Hola, *"&amp;D27&amp;".*"&amp;"%0A"&amp;"Su cuenta de Disney Plus vencio, Porfavor renueve si aun desea el servicio."&amp;"%0A"&amp;"*Tiene todo el dia para realizar el pago de lo contrario al dia siguiente sera suspendida*"&amp;"%0A"&amp;"*GRACIAS*","*MENSAJE RECORDATORIO 🚨*"&amp;"%0A"&amp;"%0A"&amp;"Hola, "&amp;D27&amp;"."&amp;"%0A"&amp;"Te quedan "&amp;K27&amp;" Dias restantes para renovar su cuenta de *Disney Plus*")),"💰")</f>
        <v>💰</v>
      </c>
      <c r="M27" s="101" t="str">
        <f>HYPERLINK("https://api.whatsapp.com/send?phone="&amp;E27&amp;"&amp;text=*🔴 Cambio de Contraseña: Disney Plus*"&amp;"%0A"&amp;"%0A"&amp;"💻 Correo: *"&amp;G27&amp;"*"&amp;"%0A"&amp;"🔐 Nueva Contraseña: *"&amp;H27&amp;"*","🔐")</f>
        <v>🔐</v>
      </c>
      <c r="N27" s="101" t="str">
        <f>HYPERLINK("https://api.whatsapp.com/send?phone=51"&amp;E27&amp;"&amp;text=*🔴 DISNEY PLUS*"&amp;"%0A"&amp;"%0A"&amp;"*📧 Correo:* "&amp;G27&amp;"%0A"&amp;"*🔑 Contraseña:* "&amp;H27&amp;"%0A"&amp;"%0A"&amp;"*🖥 Perfil:* "&amp;C27&amp;" - "&amp;F27&amp;"%0A"&amp;"%0A"&amp;"*📍 Vence:* "&amp;J27,"💻")</f>
        <v>💻</v>
      </c>
      <c r="O27" s="15"/>
      <c r="P27" s="141"/>
      <c r="Q27" s="58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72"/>
      <c r="G28" s="22"/>
      <c r="H28" s="23"/>
      <c r="I28" s="24"/>
      <c r="J28" s="51"/>
      <c r="K28" s="93">
        <f ca="1">J28-K$12</f>
        <v>-45392</v>
      </c>
      <c r="L28" s="131" t="str">
        <f t="shared" ref="L28:L33" ca="1" si="6">HYPERLINK("https://api.whatsapp.com/send?phone="&amp;E28&amp;"&amp;text="&amp;(IF(K28&lt;=0,"🚨 Hola, *"&amp;D28&amp;".*"&amp;"%0A"&amp;"Su cuenta de Disney Plus vencio, Porfavor renueve si aun desea el servicio."&amp;"%0A"&amp;"*Tiene todo el dia para realizar el pago de lo contrario al dia siguiente sera suspendida*"&amp;"%0A"&amp;"*GRACIAS*","*MENSAJE RECORDATORIO 🚨*"&amp;"%0A"&amp;"%0A"&amp;"Hola, "&amp;D28&amp;"."&amp;"%0A"&amp;"Te quedan "&amp;K28&amp;" Dias restantes para renovar su cuenta de *Disney Plus*")),"💰")</f>
        <v>💰</v>
      </c>
      <c r="M28" s="101" t="str">
        <f t="shared" ref="M28:M33" si="7">HYPERLINK("https://api.whatsapp.com/send?phone="&amp;E28&amp;"&amp;text=*🔴 Cambio de Contraseña: Disney Plus*"&amp;"%0A"&amp;"%0A"&amp;"💻 Correo: *"&amp;G28&amp;"*"&amp;"%0A"&amp;"🔐 Nueva Contraseña: *"&amp;H28&amp;"*","🔐")</f>
        <v>🔐</v>
      </c>
      <c r="N28" s="101" t="str">
        <f t="shared" ref="N28:N33" si="8">HYPERLINK("https://api.whatsapp.com/send?phone=51"&amp;E28&amp;"&amp;text=*🔴 DISNEY PLUS*"&amp;"%0A"&amp;"%0A"&amp;"*📧 Correo:* "&amp;G28&amp;"%0A"&amp;"*🔑 Contraseña:* "&amp;H28&amp;"%0A"&amp;"%0A"&amp;"*🖥 Perfil:* "&amp;C28&amp;" - "&amp;F28&amp;"%0A"&amp;"%0A"&amp;"*📍 Vence:* "&amp;J28,"💻")</f>
        <v>💻</v>
      </c>
      <c r="O28" s="22"/>
      <c r="P28" s="24"/>
      <c r="Q28" s="59"/>
      <c r="R28" s="138">
        <f ca="1">Q28-TODAY()</f>
        <v>-45392</v>
      </c>
    </row>
    <row r="29" spans="1:30" s="111" customFormat="1" x14ac:dyDescent="0.25">
      <c r="C29" s="19"/>
      <c r="D29" s="20"/>
      <c r="E29" s="19"/>
      <c r="F29" s="72"/>
      <c r="G29" s="22"/>
      <c r="H29" s="23"/>
      <c r="I29" s="26"/>
      <c r="J29" s="51"/>
      <c r="K29" s="93">
        <f t="shared" ref="K29:K30" ca="1" si="9">J29-K$12</f>
        <v>-45392</v>
      </c>
      <c r="L29" s="131" t="str">
        <f t="shared" ca="1" si="6"/>
        <v>💰</v>
      </c>
      <c r="M29" s="101" t="str">
        <f t="shared" si="7"/>
        <v>🔐</v>
      </c>
      <c r="N29" s="101" t="str">
        <f t="shared" si="8"/>
        <v>💻</v>
      </c>
      <c r="O29" s="22"/>
      <c r="P29" s="24"/>
      <c r="Q29" s="52"/>
      <c r="R29" s="138">
        <f ca="1">Q29-TODAY()</f>
        <v>-45392</v>
      </c>
    </row>
    <row r="30" spans="1:30" s="111" customFormat="1" x14ac:dyDescent="0.25">
      <c r="C30" s="19"/>
      <c r="D30" s="20"/>
      <c r="E30" s="19"/>
      <c r="F30" s="73"/>
      <c r="G30" s="22"/>
      <c r="H30" s="23"/>
      <c r="I30" s="26"/>
      <c r="J30" s="51"/>
      <c r="K30" s="93">
        <f t="shared" ca="1" si="9"/>
        <v>-45392</v>
      </c>
      <c r="L30" s="131" t="str">
        <f t="shared" ca="1" si="6"/>
        <v>💰</v>
      </c>
      <c r="M30" s="101" t="str">
        <f t="shared" si="7"/>
        <v>🔐</v>
      </c>
      <c r="N30" s="101" t="str">
        <f t="shared" si="8"/>
        <v>💻</v>
      </c>
      <c r="O30" s="22"/>
      <c r="P30" s="24"/>
      <c r="Q30" s="52"/>
      <c r="R30" s="138">
        <f ca="1">Q30-TODAY()</f>
        <v>-45392</v>
      </c>
    </row>
    <row r="31" spans="1:30" s="111" customFormat="1" x14ac:dyDescent="0.25">
      <c r="C31" s="19"/>
      <c r="D31" s="20"/>
      <c r="E31" s="19"/>
      <c r="F31" s="73"/>
      <c r="G31" s="22"/>
      <c r="H31" s="23"/>
      <c r="I31" s="26"/>
      <c r="J31" s="51"/>
      <c r="K31" s="93">
        <f ca="1">J31-K$12</f>
        <v>-45392</v>
      </c>
      <c r="L31" s="131" t="str">
        <f t="shared" ca="1" si="6"/>
        <v>💰</v>
      </c>
      <c r="M31" s="101" t="str">
        <f t="shared" si="7"/>
        <v>🔐</v>
      </c>
      <c r="N31" s="101" t="str">
        <f t="shared" si="8"/>
        <v>💻</v>
      </c>
      <c r="O31" s="22"/>
      <c r="P31" s="24"/>
      <c r="Q31" s="52"/>
      <c r="R31" s="138">
        <f t="shared" ref="R31:R33" ca="1" si="10">Q31-TODAY()</f>
        <v>-45392</v>
      </c>
    </row>
    <row r="32" spans="1:30" s="111" customFormat="1" x14ac:dyDescent="0.25">
      <c r="C32" s="19"/>
      <c r="D32" s="19"/>
      <c r="E32" s="19"/>
      <c r="F32" s="73"/>
      <c r="G32" s="19"/>
      <c r="H32" s="19"/>
      <c r="I32" s="19"/>
      <c r="J32" s="52"/>
      <c r="K32" s="93">
        <f t="shared" ref="K32:K33" ca="1" si="11">J32-K$12</f>
        <v>-45392</v>
      </c>
      <c r="L32" s="131" t="str">
        <f t="shared" ca="1" si="6"/>
        <v>💰</v>
      </c>
      <c r="M32" s="101" t="str">
        <f t="shared" si="7"/>
        <v>🔐</v>
      </c>
      <c r="N32" s="101" t="str">
        <f t="shared" si="8"/>
        <v>💻</v>
      </c>
      <c r="O32" s="22"/>
      <c r="P32" s="24"/>
      <c r="Q32" s="52"/>
      <c r="R32" s="138">
        <f t="shared" ca="1" si="10"/>
        <v>-45392</v>
      </c>
    </row>
    <row r="33" spans="3:18" s="111" customFormat="1" ht="16.5" thickBot="1" x14ac:dyDescent="0.3">
      <c r="C33" s="27"/>
      <c r="D33" s="27"/>
      <c r="E33" s="27"/>
      <c r="F33" s="74"/>
      <c r="G33" s="27"/>
      <c r="H33" s="27"/>
      <c r="I33" s="27"/>
      <c r="J33" s="53"/>
      <c r="K33" s="94">
        <f t="shared" ca="1" si="11"/>
        <v>-45392</v>
      </c>
      <c r="L33" s="131" t="str">
        <f t="shared" ca="1" si="6"/>
        <v>💰</v>
      </c>
      <c r="M33" s="101" t="str">
        <f t="shared" si="7"/>
        <v>🔐</v>
      </c>
      <c r="N33" s="101" t="str">
        <f t="shared" si="8"/>
        <v>💻</v>
      </c>
      <c r="O33" s="29"/>
      <c r="P33" s="77"/>
      <c r="Q33" s="53"/>
      <c r="R33" s="139">
        <f t="shared" ca="1" si="10"/>
        <v>-45392</v>
      </c>
    </row>
    <row r="34" spans="3:18" s="111" customFormat="1" x14ac:dyDescent="0.25">
      <c r="I34" s="113"/>
      <c r="J34" s="114"/>
    </row>
    <row r="35" spans="3:18" s="111" customFormat="1" x14ac:dyDescent="0.25">
      <c r="I35" s="113"/>
      <c r="J35" s="114"/>
    </row>
    <row r="36" spans="3:18" s="111" customFormat="1" x14ac:dyDescent="0.25">
      <c r="I36" s="113"/>
      <c r="J36" s="114"/>
    </row>
    <row r="37" spans="3:18" s="111" customFormat="1" x14ac:dyDescent="0.25">
      <c r="I37" s="113"/>
      <c r="J37" s="114"/>
    </row>
    <row r="38" spans="3:18" s="111" customFormat="1" x14ac:dyDescent="0.25">
      <c r="I38" s="113"/>
      <c r="J38" s="114"/>
    </row>
    <row r="39" spans="3:18" s="111" customFormat="1" x14ac:dyDescent="0.25">
      <c r="I39" s="113"/>
      <c r="J39" s="114"/>
    </row>
    <row r="40" spans="3:18" s="111" customFormat="1" x14ac:dyDescent="0.25">
      <c r="I40" s="113"/>
      <c r="J40" s="114"/>
    </row>
    <row r="41" spans="3:18" s="111" customFormat="1" x14ac:dyDescent="0.25">
      <c r="I41" s="113"/>
      <c r="J41" s="114"/>
    </row>
    <row r="42" spans="3:18" s="111" customFormat="1" x14ac:dyDescent="0.25">
      <c r="I42" s="113"/>
      <c r="J42" s="114"/>
    </row>
    <row r="43" spans="3:18" s="111" customFormat="1" x14ac:dyDescent="0.25">
      <c r="I43" s="113"/>
      <c r="J43" s="114"/>
    </row>
    <row r="44" spans="3:18" s="111" customFormat="1" x14ac:dyDescent="0.25">
      <c r="I44" s="113"/>
      <c r="J44" s="114"/>
    </row>
    <row r="45" spans="3:18" s="111" customFormat="1" x14ac:dyDescent="0.25">
      <c r="I45" s="113"/>
      <c r="J45" s="114"/>
    </row>
    <row r="46" spans="3:18" s="111" customFormat="1" x14ac:dyDescent="0.25">
      <c r="I46" s="113"/>
      <c r="J46" s="114"/>
    </row>
    <row r="47" spans="3:18" s="111" customFormat="1" x14ac:dyDescent="0.25">
      <c r="I47" s="113"/>
      <c r="J47" s="114"/>
    </row>
    <row r="48" spans="3:18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D1:E1"/>
    <mergeCell ref="D2:E2"/>
    <mergeCell ref="Q2:Q9"/>
    <mergeCell ref="S2:T2"/>
    <mergeCell ref="U2:U9"/>
    <mergeCell ref="L25:N25"/>
    <mergeCell ref="X2:Y2"/>
    <mergeCell ref="D9:O9"/>
    <mergeCell ref="S9:T9"/>
    <mergeCell ref="X9:Y9"/>
    <mergeCell ref="L11:N11"/>
    <mergeCell ref="L12:N12"/>
  </mergeCells>
  <conditionalFormatting sqref="K14:K20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3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K27:K33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K24:N24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L14:N21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L23:N23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7:N33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R14:R20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3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7:R33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D0E525D7-40D1-42BC-8002-E5AA4473EA26}"/>
    <hyperlink ref="G23" r:id="rId2" xr:uid="{05233D9F-200D-4C17-88FB-08FB23A0669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F355-F745-4FFE-A800-5B6474A5ADDA}">
  <sheetPr>
    <tabColor rgb="FFC00000"/>
  </sheetPr>
  <dimension ref="A1:AD404"/>
  <sheetViews>
    <sheetView topLeftCell="B1" zoomScale="95" zoomScaleNormal="95" workbookViewId="0">
      <selection activeCell="Q29" sqref="Q29"/>
    </sheetView>
  </sheetViews>
  <sheetFormatPr baseColWidth="10" defaultRowHeight="15.75" x14ac:dyDescent="0.25"/>
  <cols>
    <col min="1" max="2" width="11.42578125" style="106"/>
    <col min="3" max="3" width="9.85546875" style="106" customWidth="1"/>
    <col min="4" max="4" width="11.7109375" style="106" customWidth="1"/>
    <col min="5" max="5" width="13.140625" style="106" customWidth="1"/>
    <col min="6" max="6" width="8.570312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3.425781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2.85546875" style="106" customWidth="1"/>
    <col min="16" max="16" width="9.5703125" style="106" customWidth="1"/>
    <col min="17" max="17" width="11.140625" style="106" customWidth="1"/>
    <col min="18" max="18" width="9.425781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26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18"/>
      <c r="P12" s="133" t="s">
        <v>47</v>
      </c>
      <c r="Q12" s="133"/>
      <c r="R12" s="13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9" t="s">
        <v>0</v>
      </c>
      <c r="D13" s="9" t="s">
        <v>11</v>
      </c>
      <c r="E13" s="9" t="s">
        <v>1</v>
      </c>
      <c r="F13" s="9" t="s">
        <v>10</v>
      </c>
      <c r="G13" s="9" t="s">
        <v>2</v>
      </c>
      <c r="H13" s="10" t="s">
        <v>12</v>
      </c>
      <c r="I13" s="11" t="s">
        <v>18</v>
      </c>
      <c r="J13" s="12" t="s">
        <v>4</v>
      </c>
      <c r="K13" s="118" t="s">
        <v>5</v>
      </c>
      <c r="L13" s="95" t="s">
        <v>6</v>
      </c>
      <c r="M13" s="95" t="s">
        <v>7</v>
      </c>
      <c r="N13" s="95" t="s">
        <v>8</v>
      </c>
      <c r="O13" s="135" t="s">
        <v>15</v>
      </c>
      <c r="P13" s="136" t="s">
        <v>45</v>
      </c>
      <c r="Q13" s="57" t="s">
        <v>4</v>
      </c>
      <c r="R13" s="137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21</v>
      </c>
      <c r="D14" s="14" t="s">
        <v>22</v>
      </c>
      <c r="E14" s="13">
        <v>945174408</v>
      </c>
      <c r="F14" s="71">
        <v>2098</v>
      </c>
      <c r="G14" s="97" t="s">
        <v>23</v>
      </c>
      <c r="H14" s="16" t="s">
        <v>24</v>
      </c>
      <c r="I14" s="17">
        <v>8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Star Plus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*Star Plus*")),"💰")</f>
        <v>💰</v>
      </c>
      <c r="M14" s="101" t="str">
        <f>HYPERLINK("https://api.whatsapp.com/send?phone="&amp;E14&amp;"&amp;text=*🔴 Cambio de Contraseña: Star Plus*"&amp;"%0A"&amp;"%0A"&amp;"💻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STAR PLUS*"&amp;"%0A"&amp;"%0A"&amp;"*📧 Correo:* "&amp;G14&amp;"%0A"&amp;"*🔑 Contraseña:* "&amp;H14&amp;"%0A"&amp;"%0A"&amp;"*🖥 Perfil:* "&amp;C14&amp;" - "&amp;F14&amp;"%0A"&amp;"%0A"&amp;"*📍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72"/>
      <c r="G15" s="22"/>
      <c r="H15" s="23"/>
      <c r="I15" s="24"/>
      <c r="J15" s="51"/>
      <c r="K15" s="93">
        <f ca="1">J15-K$12</f>
        <v>-45392</v>
      </c>
      <c r="L15" s="131" t="str">
        <f t="shared" ref="L15:L20" ca="1" si="0">HYPERLINK("https://api.whatsapp.com/send?phone="&amp;E15&amp;"&amp;text="&amp;(IF(K15&lt;=0,"🚨 Hola, *"&amp;D15&amp;".*"&amp;"%0A"&amp;"Su cuenta de Star Plus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*Star Plus*")),"💰")</f>
        <v>💰</v>
      </c>
      <c r="M15" s="101" t="str">
        <f t="shared" ref="M15:M20" si="1">HYPERLINK("https://api.whatsapp.com/send?phone="&amp;E15&amp;"&amp;text=*🔴 Cambio de Contraseña: Star Plus*"&amp;"%0A"&amp;"%0A"&amp;"💻 Correo: *"&amp;G15&amp;"*"&amp;"%0A"&amp;"🔐 Nueva Contraseña: *"&amp;H15&amp;"*","🔐")</f>
        <v>🔐</v>
      </c>
      <c r="N15" s="101" t="str">
        <f t="shared" ref="N15:N20" si="2">HYPERLINK("https://api.whatsapp.com/send?phone=51"&amp;E15&amp;"&amp;text=*🔴 STAR PLUS*"&amp;"%0A"&amp;"%0A"&amp;"*📧 Correo:* "&amp;G15&amp;"%0A"&amp;"*🔑 Contraseña:* "&amp;H15&amp;"%0A"&amp;"%0A"&amp;"*🖥 Perfil:* "&amp;C15&amp;" - "&amp;F15&amp;"%0A"&amp;"%0A"&amp;"*📍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72"/>
      <c r="G16" s="22"/>
      <c r="H16" s="23"/>
      <c r="I16" s="26"/>
      <c r="J16" s="51"/>
      <c r="K16" s="93">
        <f t="shared" ref="K16:K17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73"/>
      <c r="G17" s="22"/>
      <c r="H17" s="23"/>
      <c r="I17" s="26"/>
      <c r="J17" s="51"/>
      <c r="K17" s="93">
        <f t="shared" ca="1" si="3"/>
        <v>-45392</v>
      </c>
      <c r="L17" s="13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9"/>
      <c r="D18" s="20"/>
      <c r="E18" s="19"/>
      <c r="F18" s="73"/>
      <c r="G18" s="22"/>
      <c r="H18" s="23"/>
      <c r="I18" s="26"/>
      <c r="J18" s="51"/>
      <c r="K18" s="93">
        <f ca="1">J18-K$12</f>
        <v>-45392</v>
      </c>
      <c r="L18" s="13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2"/>
      <c r="P18" s="24"/>
      <c r="Q18" s="52"/>
      <c r="R18" s="138">
        <f t="shared" ref="R18:R20" ca="1" si="4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x14ac:dyDescent="0.25">
      <c r="A19" s="1"/>
      <c r="B19" s="1"/>
      <c r="C19" s="19"/>
      <c r="D19" s="19"/>
      <c r="E19" s="19"/>
      <c r="F19" s="73"/>
      <c r="G19" s="19"/>
      <c r="H19" s="19"/>
      <c r="I19" s="19"/>
      <c r="J19" s="52"/>
      <c r="K19" s="93">
        <f t="shared" ref="K19:K20" ca="1" si="5">J19-K$12</f>
        <v>-45392</v>
      </c>
      <c r="L19" s="131" t="str">
        <f t="shared" ca="1" si="0"/>
        <v>💰</v>
      </c>
      <c r="M19" s="101" t="str">
        <f t="shared" si="1"/>
        <v>🔐</v>
      </c>
      <c r="N19" s="101" t="str">
        <f t="shared" si="2"/>
        <v>💻</v>
      </c>
      <c r="O19" s="22"/>
      <c r="P19" s="24"/>
      <c r="Q19" s="52"/>
      <c r="R19" s="138">
        <f t="shared" ca="1" si="4"/>
        <v>-45392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27"/>
      <c r="D20" s="27"/>
      <c r="E20" s="27"/>
      <c r="F20" s="74"/>
      <c r="G20" s="27"/>
      <c r="H20" s="27"/>
      <c r="I20" s="27"/>
      <c r="J20" s="53"/>
      <c r="K20" s="94">
        <f t="shared" ca="1" si="5"/>
        <v>-45392</v>
      </c>
      <c r="L20" s="131" t="str">
        <f t="shared" ca="1" si="0"/>
        <v>💰</v>
      </c>
      <c r="M20" s="101" t="str">
        <f t="shared" si="1"/>
        <v>🔐</v>
      </c>
      <c r="N20" s="101" t="str">
        <f t="shared" si="2"/>
        <v>💻</v>
      </c>
      <c r="O20" s="29"/>
      <c r="P20" s="77"/>
      <c r="Q20" s="53"/>
      <c r="R20" s="139">
        <f t="shared" ca="1" si="4"/>
        <v>-45392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42"/>
      <c r="E21" s="42"/>
      <c r="F21" s="43"/>
      <c r="G21" s="44"/>
      <c r="H21" s="42"/>
      <c r="I21" s="45"/>
      <c r="J21" s="47"/>
      <c r="K21" s="47"/>
      <c r="L21" s="48"/>
      <c r="M21" s="48"/>
      <c r="N21" s="48"/>
      <c r="O21" s="1"/>
      <c r="P21" s="145"/>
      <c r="Q21" s="146"/>
      <c r="R21" s="3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9" t="s">
        <v>11</v>
      </c>
      <c r="E22" s="9" t="s">
        <v>1</v>
      </c>
      <c r="F22" s="9" t="s">
        <v>10</v>
      </c>
      <c r="G22" s="9" t="s">
        <v>2</v>
      </c>
      <c r="H22" s="9" t="s">
        <v>12</v>
      </c>
      <c r="I22" s="11" t="s">
        <v>18</v>
      </c>
      <c r="J22" s="62" t="s">
        <v>4</v>
      </c>
      <c r="K22" s="118" t="s">
        <v>5</v>
      </c>
      <c r="L22" s="95" t="s">
        <v>6</v>
      </c>
      <c r="M22" s="95" t="s">
        <v>7</v>
      </c>
      <c r="N22" s="95" t="s">
        <v>8</v>
      </c>
      <c r="O22" s="9" t="s">
        <v>15</v>
      </c>
      <c r="P22" s="134" t="s">
        <v>45</v>
      </c>
      <c r="Q22" s="57" t="s">
        <v>4</v>
      </c>
      <c r="R22" s="160" t="s"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42"/>
      <c r="D23" s="32" t="s">
        <v>22</v>
      </c>
      <c r="E23" s="32">
        <v>945174408</v>
      </c>
      <c r="F23" s="85" t="s">
        <v>48</v>
      </c>
      <c r="G23" s="34" t="s">
        <v>23</v>
      </c>
      <c r="H23" s="35" t="s">
        <v>24</v>
      </c>
      <c r="I23" s="36">
        <v>18</v>
      </c>
      <c r="J23" s="50" t="s">
        <v>17</v>
      </c>
      <c r="K23" s="96">
        <f ca="1">J23-K$12</f>
        <v>-193</v>
      </c>
      <c r="L23" s="131" t="str">
        <f ca="1">HYPERLINK("https://api.whatsapp.com/send?phone="&amp;E23&amp;"&amp;text="&amp;(IF(K23&lt;=0,"🚨 Hola, *"&amp;D23&amp;".*"&amp;"%0A"&amp;"Su cuenta de Star Plus vencio, Porfavor renueve si aun desea el servicio."&amp;"%0A"&amp;"*Tiene todo el dia para realizar el pago de lo contrario al dia siguiente sera suspendida*"&amp;"%0A"&amp;"*GRACIAS*","*MENSAJE RECORDATORIO 🚨*"&amp;"%0A"&amp;"%0A"&amp;"Hola, "&amp;D23&amp;"."&amp;"%0A"&amp;"Te quedan "&amp;K23&amp;" Dias restantes para renovar su cuenta de *Star Plus*")),"💰")</f>
        <v>💰</v>
      </c>
      <c r="M23" s="101" t="str">
        <f>HYPERLINK("https://api.whatsapp.com/send?phone="&amp;E23&amp;"&amp;text=*🔴 Cambio de Contraseña: Star Plus*"&amp;"%0A"&amp;"%0A"&amp;"💻 Correo: *"&amp;G23&amp;"*"&amp;"%0A"&amp;"🔐 Nueva Contraseña: *"&amp;H23&amp;"*","🔐")</f>
        <v>🔐</v>
      </c>
      <c r="N23" s="101" t="str">
        <f>HYPERLINK("https://api.whatsapp.com/send?phone=51"&amp;E23&amp;"&amp;text=*🔴 STAR PLUS COMPLETO*"&amp;"%0A"&amp;"%0A"&amp;"*📧 Correo:* "&amp;G23&amp;"%0A"&amp;"*🔑 Contraseña:* "&amp;H23&amp;"%0A"&amp;"%0A"&amp;"*🖥 Perfil:* "&amp;D23&amp;" %0A"&amp;"%0A"&amp;"*📍 Vence:* "&amp;J23,"💻")</f>
        <v>💻</v>
      </c>
      <c r="O23" s="34" t="s">
        <v>22</v>
      </c>
      <c r="P23" s="142">
        <v>8</v>
      </c>
      <c r="Q23" s="143" t="s">
        <v>17</v>
      </c>
      <c r="R23" s="139">
        <f ca="1">Q23-TODAY()</f>
        <v>-193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42"/>
      <c r="D24" s="42"/>
      <c r="E24" s="42"/>
      <c r="F24" s="42"/>
      <c r="G24" s="44"/>
      <c r="H24" s="42"/>
      <c r="I24" s="45"/>
      <c r="J24" s="46"/>
      <c r="K24" s="47"/>
      <c r="L24" s="48"/>
      <c r="M24" s="48"/>
      <c r="N24" s="48"/>
    </row>
    <row r="25" spans="1:30" s="111" customFormat="1" ht="16.5" thickBot="1" x14ac:dyDescent="0.3">
      <c r="C25" s="5"/>
      <c r="D25" s="5"/>
      <c r="E25" s="5"/>
      <c r="F25" s="5"/>
      <c r="G25" s="5"/>
      <c r="H25" s="5"/>
      <c r="I25" s="6"/>
      <c r="J25" s="7"/>
      <c r="K25" s="8">
        <f ca="1">TODAY()</f>
        <v>45392</v>
      </c>
      <c r="L25" s="230" t="s">
        <v>9</v>
      </c>
      <c r="M25" s="231"/>
      <c r="N25" s="235"/>
      <c r="O25" s="118"/>
      <c r="P25" s="133" t="s">
        <v>47</v>
      </c>
      <c r="Q25" s="133"/>
      <c r="R25" s="134"/>
    </row>
    <row r="26" spans="1:30" s="111" customFormat="1" ht="16.5" thickBot="1" x14ac:dyDescent="0.3">
      <c r="C26" s="9" t="s">
        <v>0</v>
      </c>
      <c r="D26" s="9" t="s">
        <v>11</v>
      </c>
      <c r="E26" s="9" t="s">
        <v>1</v>
      </c>
      <c r="F26" s="9" t="s">
        <v>10</v>
      </c>
      <c r="G26" s="9" t="s">
        <v>2</v>
      </c>
      <c r="H26" s="10" t="s">
        <v>12</v>
      </c>
      <c r="I26" s="11" t="s">
        <v>18</v>
      </c>
      <c r="J26" s="12" t="s">
        <v>4</v>
      </c>
      <c r="K26" s="118" t="s">
        <v>5</v>
      </c>
      <c r="L26" s="95" t="s">
        <v>6</v>
      </c>
      <c r="M26" s="95" t="s">
        <v>7</v>
      </c>
      <c r="N26" s="95" t="s">
        <v>8</v>
      </c>
      <c r="O26" s="135" t="s">
        <v>15</v>
      </c>
      <c r="P26" s="136" t="s">
        <v>45</v>
      </c>
      <c r="Q26" s="57" t="s">
        <v>4</v>
      </c>
      <c r="R26" s="137" t="s">
        <v>5</v>
      </c>
    </row>
    <row r="27" spans="1:30" s="111" customFormat="1" x14ac:dyDescent="0.25">
      <c r="C27" s="13"/>
      <c r="D27" s="14"/>
      <c r="E27" s="13"/>
      <c r="F27" s="71"/>
      <c r="G27" s="97"/>
      <c r="H27" s="16"/>
      <c r="I27" s="17"/>
      <c r="J27" s="49"/>
      <c r="K27" s="92">
        <f ca="1">J27-K$12</f>
        <v>-45392</v>
      </c>
      <c r="L27" s="131" t="str">
        <f ca="1">HYPERLINK("https://api.whatsapp.com/send?phone="&amp;E27&amp;"&amp;text="&amp;(IF(K27&lt;=0,"🚨 Hola, *"&amp;D27&amp;".*"&amp;"%0A"&amp;"Su cuenta de Star Plus vencio, Porfavor renueve si aun desea el servicio."&amp;"%0A"&amp;"*Tiene todo el dia para realizar el pago de lo contrario al dia siguiente sera suspendida*"&amp;"%0A"&amp;"*GRACIAS*","*MENSAJE RECORDATORIO 🚨*"&amp;"%0A"&amp;"%0A"&amp;"Hola, "&amp;D27&amp;"."&amp;"%0A"&amp;"Te quedan "&amp;K27&amp;" Dias restantes para renovar su cuenta de *Star Plus*")),"💰")</f>
        <v>💰</v>
      </c>
      <c r="M27" s="101" t="str">
        <f>HYPERLINK("https://api.whatsapp.com/send?phone="&amp;E27&amp;"&amp;text=*🔴 Cambio de Contraseña: Star Plus*"&amp;"%0A"&amp;"%0A"&amp;"💻 Correo: *"&amp;G27&amp;"*"&amp;"%0A"&amp;"🔐 Nueva Contraseña: *"&amp;H27&amp;"*","🔐")</f>
        <v>🔐</v>
      </c>
      <c r="N27" s="101" t="str">
        <f>HYPERLINK("https://api.whatsapp.com/send?phone=51"&amp;E27&amp;"&amp;text=*🔴 STAR PLUS*"&amp;"%0A"&amp;"%0A"&amp;"*📧 Correo:* "&amp;G27&amp;"%0A"&amp;"*🔑 Contraseña:* "&amp;H27&amp;"%0A"&amp;"%0A"&amp;"*🖥 Perfil:* "&amp;C27&amp;" - "&amp;F27&amp;"%0A"&amp;"%0A"&amp;"*📍 Vence:* "&amp;J27,"💻")</f>
        <v>💻</v>
      </c>
      <c r="O27" s="15"/>
      <c r="P27" s="141"/>
      <c r="Q27" s="58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72"/>
      <c r="G28" s="22"/>
      <c r="H28" s="23"/>
      <c r="I28" s="24"/>
      <c r="J28" s="51"/>
      <c r="K28" s="93">
        <f ca="1">J28-K$12</f>
        <v>-45392</v>
      </c>
      <c r="L28" s="131" t="str">
        <f t="shared" ref="L28:L33" ca="1" si="6">HYPERLINK("https://api.whatsapp.com/send?phone="&amp;E28&amp;"&amp;text="&amp;(IF(K28&lt;=0,"🚨 Hola, *"&amp;D28&amp;".*"&amp;"%0A"&amp;"Su cuenta de Star Plus vencio, Porfavor renueve si aun desea el servicio."&amp;"%0A"&amp;"*Tiene todo el dia para realizar el pago de lo contrario al dia siguiente sera suspendida*"&amp;"%0A"&amp;"*GRACIAS*","*MENSAJE RECORDATORIO 🚨*"&amp;"%0A"&amp;"%0A"&amp;"Hola, "&amp;D28&amp;"."&amp;"%0A"&amp;"Te quedan "&amp;K28&amp;" Dias restantes para renovar su cuenta de *Star Plus*")),"💰")</f>
        <v>💰</v>
      </c>
      <c r="M28" s="101" t="str">
        <f t="shared" ref="M28:M33" si="7">HYPERLINK("https://api.whatsapp.com/send?phone="&amp;E28&amp;"&amp;text=*🔴 Cambio de Contraseña: Star Plus*"&amp;"%0A"&amp;"%0A"&amp;"💻 Correo: *"&amp;G28&amp;"*"&amp;"%0A"&amp;"🔐 Nueva Contraseña: *"&amp;H28&amp;"*","🔐")</f>
        <v>🔐</v>
      </c>
      <c r="N28" s="101" t="str">
        <f t="shared" ref="N28:N33" si="8">HYPERLINK("https://api.whatsapp.com/send?phone=51"&amp;E28&amp;"&amp;text=*🔴 STAR PLUS*"&amp;"%0A"&amp;"%0A"&amp;"*📧 Correo:* "&amp;G28&amp;"%0A"&amp;"*🔑 Contraseña:* "&amp;H28&amp;"%0A"&amp;"%0A"&amp;"*🖥 Perfil:* "&amp;C28&amp;" - "&amp;F28&amp;"%0A"&amp;"%0A"&amp;"*📍 Vence:* "&amp;J28,"💻")</f>
        <v>💻</v>
      </c>
      <c r="O28" s="22"/>
      <c r="P28" s="24"/>
      <c r="Q28" s="59"/>
      <c r="R28" s="138">
        <f ca="1">Q28-TODAY()</f>
        <v>-45392</v>
      </c>
    </row>
    <row r="29" spans="1:30" s="111" customFormat="1" x14ac:dyDescent="0.25">
      <c r="C29" s="19"/>
      <c r="D29" s="20"/>
      <c r="E29" s="19"/>
      <c r="F29" s="72"/>
      <c r="G29" s="22"/>
      <c r="H29" s="23"/>
      <c r="I29" s="26"/>
      <c r="J29" s="51"/>
      <c r="K29" s="93">
        <f t="shared" ref="K29:K30" ca="1" si="9">J29-K$12</f>
        <v>-45392</v>
      </c>
      <c r="L29" s="131" t="str">
        <f t="shared" ca="1" si="6"/>
        <v>💰</v>
      </c>
      <c r="M29" s="101" t="str">
        <f t="shared" si="7"/>
        <v>🔐</v>
      </c>
      <c r="N29" s="101" t="str">
        <f t="shared" si="8"/>
        <v>💻</v>
      </c>
      <c r="O29" s="22"/>
      <c r="P29" s="24"/>
      <c r="Q29" s="52"/>
      <c r="R29" s="138">
        <f ca="1">Q29-TODAY()</f>
        <v>-45392</v>
      </c>
    </row>
    <row r="30" spans="1:30" s="111" customFormat="1" x14ac:dyDescent="0.25">
      <c r="C30" s="19"/>
      <c r="D30" s="20"/>
      <c r="E30" s="19"/>
      <c r="F30" s="73"/>
      <c r="G30" s="22"/>
      <c r="H30" s="23"/>
      <c r="I30" s="26"/>
      <c r="J30" s="51"/>
      <c r="K30" s="93">
        <f t="shared" ca="1" si="9"/>
        <v>-45392</v>
      </c>
      <c r="L30" s="131" t="str">
        <f t="shared" ca="1" si="6"/>
        <v>💰</v>
      </c>
      <c r="M30" s="101" t="str">
        <f t="shared" si="7"/>
        <v>🔐</v>
      </c>
      <c r="N30" s="101" t="str">
        <f t="shared" si="8"/>
        <v>💻</v>
      </c>
      <c r="O30" s="22"/>
      <c r="P30" s="24"/>
      <c r="Q30" s="52"/>
      <c r="R30" s="138">
        <f ca="1">Q30-TODAY()</f>
        <v>-45392</v>
      </c>
    </row>
    <row r="31" spans="1:30" s="111" customFormat="1" x14ac:dyDescent="0.25">
      <c r="C31" s="19"/>
      <c r="D31" s="20"/>
      <c r="E31" s="19"/>
      <c r="F31" s="73"/>
      <c r="G31" s="22"/>
      <c r="H31" s="23"/>
      <c r="I31" s="26"/>
      <c r="J31" s="51"/>
      <c r="K31" s="93">
        <f ca="1">J31-K$12</f>
        <v>-45392</v>
      </c>
      <c r="L31" s="131" t="str">
        <f t="shared" ca="1" si="6"/>
        <v>💰</v>
      </c>
      <c r="M31" s="101" t="str">
        <f t="shared" si="7"/>
        <v>🔐</v>
      </c>
      <c r="N31" s="101" t="str">
        <f t="shared" si="8"/>
        <v>💻</v>
      </c>
      <c r="O31" s="22"/>
      <c r="P31" s="24"/>
      <c r="Q31" s="52"/>
      <c r="R31" s="138">
        <f t="shared" ref="R31:R33" ca="1" si="10">Q31-TODAY()</f>
        <v>-45392</v>
      </c>
    </row>
    <row r="32" spans="1:30" s="111" customFormat="1" x14ac:dyDescent="0.25">
      <c r="C32" s="19"/>
      <c r="D32" s="19"/>
      <c r="E32" s="19"/>
      <c r="F32" s="73"/>
      <c r="G32" s="19"/>
      <c r="H32" s="19"/>
      <c r="I32" s="19"/>
      <c r="J32" s="52"/>
      <c r="K32" s="93">
        <f t="shared" ref="K32:K33" ca="1" si="11">J32-K$12</f>
        <v>-45392</v>
      </c>
      <c r="L32" s="131" t="str">
        <f t="shared" ca="1" si="6"/>
        <v>💰</v>
      </c>
      <c r="M32" s="101" t="str">
        <f t="shared" si="7"/>
        <v>🔐</v>
      </c>
      <c r="N32" s="101" t="str">
        <f t="shared" si="8"/>
        <v>💻</v>
      </c>
      <c r="O32" s="22"/>
      <c r="P32" s="24"/>
      <c r="Q32" s="52"/>
      <c r="R32" s="138">
        <f t="shared" ca="1" si="10"/>
        <v>-45392</v>
      </c>
    </row>
    <row r="33" spans="3:18" s="111" customFormat="1" ht="16.5" thickBot="1" x14ac:dyDescent="0.3">
      <c r="C33" s="27"/>
      <c r="D33" s="27"/>
      <c r="E33" s="27"/>
      <c r="F33" s="74"/>
      <c r="G33" s="27"/>
      <c r="H33" s="27"/>
      <c r="I33" s="27"/>
      <c r="J33" s="53"/>
      <c r="K33" s="94">
        <f t="shared" ca="1" si="11"/>
        <v>-45392</v>
      </c>
      <c r="L33" s="131" t="str">
        <f t="shared" ca="1" si="6"/>
        <v>💰</v>
      </c>
      <c r="M33" s="101" t="str">
        <f t="shared" si="7"/>
        <v>🔐</v>
      </c>
      <c r="N33" s="101" t="str">
        <f t="shared" si="8"/>
        <v>💻</v>
      </c>
      <c r="O33" s="29"/>
      <c r="P33" s="77"/>
      <c r="Q33" s="53"/>
      <c r="R33" s="139">
        <f t="shared" ca="1" si="10"/>
        <v>-45392</v>
      </c>
    </row>
    <row r="34" spans="3:18" s="111" customFormat="1" x14ac:dyDescent="0.25">
      <c r="I34" s="113"/>
      <c r="J34" s="114"/>
    </row>
    <row r="35" spans="3:18" s="111" customFormat="1" x14ac:dyDescent="0.25">
      <c r="I35" s="113"/>
      <c r="J35" s="114"/>
    </row>
    <row r="36" spans="3:18" s="111" customFormat="1" x14ac:dyDescent="0.25">
      <c r="I36" s="113"/>
      <c r="J36" s="114"/>
    </row>
    <row r="37" spans="3:18" s="111" customFormat="1" x14ac:dyDescent="0.25">
      <c r="I37" s="113"/>
      <c r="J37" s="114"/>
    </row>
    <row r="38" spans="3:18" s="111" customFormat="1" x14ac:dyDescent="0.25">
      <c r="I38" s="113"/>
      <c r="J38" s="114"/>
    </row>
    <row r="39" spans="3:18" s="111" customFormat="1" x14ac:dyDescent="0.25">
      <c r="I39" s="113"/>
      <c r="J39" s="114"/>
    </row>
    <row r="40" spans="3:18" s="111" customFormat="1" x14ac:dyDescent="0.25">
      <c r="I40" s="113"/>
      <c r="J40" s="114"/>
    </row>
    <row r="41" spans="3:18" s="111" customFormat="1" x14ac:dyDescent="0.25">
      <c r="I41" s="113"/>
      <c r="J41" s="114"/>
    </row>
    <row r="42" spans="3:18" s="111" customFormat="1" x14ac:dyDescent="0.25">
      <c r="I42" s="113"/>
      <c r="J42" s="114"/>
    </row>
    <row r="43" spans="3:18" s="111" customFormat="1" x14ac:dyDescent="0.25">
      <c r="I43" s="113"/>
      <c r="J43" s="114"/>
    </row>
    <row r="44" spans="3:18" s="111" customFormat="1" x14ac:dyDescent="0.25">
      <c r="I44" s="113"/>
      <c r="J44" s="114"/>
    </row>
    <row r="45" spans="3:18" s="111" customFormat="1" x14ac:dyDescent="0.25">
      <c r="I45" s="113"/>
      <c r="J45" s="114"/>
    </row>
    <row r="46" spans="3:18" s="111" customFormat="1" x14ac:dyDescent="0.25">
      <c r="I46" s="113"/>
      <c r="J46" s="114"/>
    </row>
    <row r="47" spans="3:18" s="111" customFormat="1" x14ac:dyDescent="0.25">
      <c r="I47" s="113"/>
      <c r="J47" s="114"/>
    </row>
    <row r="48" spans="3:18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D1:E1"/>
    <mergeCell ref="D2:E2"/>
    <mergeCell ref="Q2:Q9"/>
    <mergeCell ref="S2:T2"/>
    <mergeCell ref="U2:U9"/>
    <mergeCell ref="L25:N25"/>
    <mergeCell ref="X2:Y2"/>
    <mergeCell ref="D9:O9"/>
    <mergeCell ref="S9:T9"/>
    <mergeCell ref="X9:Y9"/>
    <mergeCell ref="L11:N11"/>
    <mergeCell ref="L12:N12"/>
  </mergeCells>
  <conditionalFormatting sqref="K14:K20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K23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27:K33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K24:N24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L14:N20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L21:N21">
    <cfRule type="iconSet" priority="13">
      <iconSet iconSet="3Symbols">
        <cfvo type="percent" val="0"/>
        <cfvo type="num" val="0" gte="0"/>
        <cfvo type="num" val="3"/>
      </iconSet>
    </cfRule>
  </conditionalFormatting>
  <conditionalFormatting sqref="L23:N23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7:N33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20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3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7:R33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F4C07CCC-9172-4729-AB2B-A6B8C85F147F}"/>
    <hyperlink ref="G23" r:id="rId2" xr:uid="{2C69305D-7323-4737-ADAD-D90795660611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988E-4D3B-48FE-98A8-80565278A53A}">
  <sheetPr>
    <tabColor rgb="FF7030A0"/>
  </sheetPr>
  <dimension ref="A1:AD404"/>
  <sheetViews>
    <sheetView zoomScale="86" zoomScaleNormal="86" workbookViewId="0">
      <selection activeCell="O12" sqref="O12:R18"/>
    </sheetView>
  </sheetViews>
  <sheetFormatPr baseColWidth="10" defaultRowHeight="15.75" x14ac:dyDescent="0.25"/>
  <cols>
    <col min="1" max="2" width="11.42578125" style="106"/>
    <col min="3" max="3" width="9.140625" style="106" customWidth="1"/>
    <col min="4" max="4" width="11.28515625" style="106" customWidth="1"/>
    <col min="5" max="5" width="13.85546875" style="106" customWidth="1"/>
    <col min="6" max="6" width="13.710937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2.710937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42578125" style="106" customWidth="1"/>
    <col min="16" max="16" width="9.42578125" style="106" customWidth="1"/>
    <col min="17" max="17" width="11.42578125" style="106"/>
    <col min="18" max="18" width="9.425781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24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17"/>
      <c r="P12" s="161" t="s">
        <v>46</v>
      </c>
      <c r="Q12" s="161"/>
      <c r="R12" s="162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63" t="s">
        <v>0</v>
      </c>
      <c r="D13" s="63" t="s">
        <v>11</v>
      </c>
      <c r="E13" s="63" t="s">
        <v>1</v>
      </c>
      <c r="F13" s="63" t="s">
        <v>50</v>
      </c>
      <c r="G13" s="63" t="s">
        <v>2</v>
      </c>
      <c r="H13" s="64" t="s">
        <v>12</v>
      </c>
      <c r="I13" s="65" t="s">
        <v>3</v>
      </c>
      <c r="J13" s="66" t="s">
        <v>4</v>
      </c>
      <c r="K13" s="117" t="s">
        <v>5</v>
      </c>
      <c r="L13" s="95" t="s">
        <v>6</v>
      </c>
      <c r="M13" s="95" t="s">
        <v>7</v>
      </c>
      <c r="N13" s="95" t="s">
        <v>8</v>
      </c>
      <c r="O13" s="163" t="s">
        <v>15</v>
      </c>
      <c r="P13" s="164" t="s">
        <v>45</v>
      </c>
      <c r="Q13" s="165" t="s">
        <v>4</v>
      </c>
      <c r="R13" s="166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21</v>
      </c>
      <c r="D14" s="14" t="s">
        <v>22</v>
      </c>
      <c r="E14" s="13">
        <v>945174408</v>
      </c>
      <c r="F14" s="71" t="s">
        <v>26</v>
      </c>
      <c r="G14" s="15" t="s">
        <v>25</v>
      </c>
      <c r="H14" s="16" t="s">
        <v>24</v>
      </c>
      <c r="I14" s="17">
        <v>6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Hbo Max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*HBO MAX*")),"💰")</f>
        <v>💰</v>
      </c>
      <c r="M14" s="101" t="str">
        <f>HYPERLINK("https://api.whatsapp.com/send?phone="&amp;E14&amp;"&amp;text=*🔴 Cambio de Contraseña: Hbo Max*"&amp;"%0A"&amp;"%0A"&amp;"💻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HBO MAX*"&amp;"%0A"&amp;"%0A"&amp;"*📧 Correo:* "&amp;G14&amp;"%0A"&amp;"*🔑 Contraseña:* "&amp;H14&amp;"%0A"&amp;"%0A"&amp;"*🖥 Perfil:* "&amp;C14&amp;"%0A"&amp;"%0A"&amp;"*📍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72"/>
      <c r="G15" s="22"/>
      <c r="H15" s="23"/>
      <c r="I15" s="24"/>
      <c r="J15" s="51"/>
      <c r="K15" s="93">
        <f ca="1">J15-K$12</f>
        <v>-45392</v>
      </c>
      <c r="L15" s="131" t="str">
        <f t="shared" ref="L15:L18" ca="1" si="0">HYPERLINK("https://api.whatsapp.com/send?phone="&amp;E15&amp;"&amp;text="&amp;(IF(K15&lt;=0,"🚨 Hola, *"&amp;D15&amp;".*"&amp;"%0A"&amp;"Su cuenta de Hbo Max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*HBO MAX*")),"💰")</f>
        <v>💰</v>
      </c>
      <c r="M15" s="101" t="str">
        <f t="shared" ref="M15:M18" si="1">HYPERLINK("https://api.whatsapp.com/send?phone="&amp;E15&amp;"&amp;text=*🔴 Cambio de Contraseña: Hbo Max*"&amp;"%0A"&amp;"%0A"&amp;"💻 Correo: *"&amp;G15&amp;"*"&amp;"%0A"&amp;"🔐 Nueva Contraseña: *"&amp;H15&amp;"*","🔐")</f>
        <v>🔐</v>
      </c>
      <c r="N15" s="101" t="str">
        <f t="shared" ref="N15:N18" si="2">HYPERLINK("https://api.whatsapp.com/send?phone=51"&amp;E15&amp;"&amp;text=*🔴 HBO MAX*"&amp;"%0A"&amp;"%0A"&amp;"*📧 Correo:* "&amp;G15&amp;"%0A"&amp;"*🔑 Contraseña:* "&amp;H15&amp;"%0A"&amp;"%0A"&amp;"*🖥 Perfil:* "&amp;C15&amp;"%0A"&amp;"%0A"&amp;"*📍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72"/>
      <c r="G16" s="22"/>
      <c r="H16" s="23"/>
      <c r="I16" s="26"/>
      <c r="J16" s="51"/>
      <c r="K16" s="93">
        <f t="shared" ref="K16:K17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73"/>
      <c r="G17" s="22"/>
      <c r="H17" s="23"/>
      <c r="I17" s="26"/>
      <c r="J17" s="51"/>
      <c r="K17" s="93">
        <f t="shared" ca="1" si="3"/>
        <v>-45392</v>
      </c>
      <c r="L17" s="13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27"/>
      <c r="D18" s="28"/>
      <c r="E18" s="27"/>
      <c r="F18" s="74"/>
      <c r="G18" s="29"/>
      <c r="H18" s="30"/>
      <c r="I18" s="31"/>
      <c r="J18" s="60"/>
      <c r="K18" s="94">
        <f ca="1">J18-K$12</f>
        <v>-45392</v>
      </c>
      <c r="L18" s="13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9"/>
      <c r="P18" s="77"/>
      <c r="Q18" s="53"/>
      <c r="R18" s="139">
        <f ca="1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42"/>
      <c r="D19" s="42"/>
      <c r="E19" s="42"/>
      <c r="F19" s="42"/>
      <c r="G19" s="42"/>
      <c r="H19" s="42"/>
      <c r="I19" s="42"/>
      <c r="J19" s="47"/>
      <c r="K19" s="47"/>
      <c r="L19" s="48"/>
      <c r="M19" s="48"/>
      <c r="N19" s="48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63" t="s">
        <v>11</v>
      </c>
      <c r="E20" s="63" t="s">
        <v>1</v>
      </c>
      <c r="F20" s="63" t="s">
        <v>50</v>
      </c>
      <c r="G20" s="63" t="s">
        <v>2</v>
      </c>
      <c r="H20" s="63" t="s">
        <v>12</v>
      </c>
      <c r="I20" s="65" t="s">
        <v>3</v>
      </c>
      <c r="J20" s="67" t="s">
        <v>4</v>
      </c>
      <c r="K20" s="117" t="s">
        <v>5</v>
      </c>
      <c r="L20" s="95" t="s">
        <v>6</v>
      </c>
      <c r="M20" s="95" t="s">
        <v>7</v>
      </c>
      <c r="N20" s="95" t="s">
        <v>8</v>
      </c>
      <c r="O20" s="63" t="s">
        <v>15</v>
      </c>
      <c r="P20" s="162" t="s">
        <v>45</v>
      </c>
      <c r="Q20" s="165" t="s">
        <v>4</v>
      </c>
      <c r="R20" s="167" t="s">
        <v>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32" t="s">
        <v>22</v>
      </c>
      <c r="E21" s="32">
        <v>945174408</v>
      </c>
      <c r="F21" s="85" t="s">
        <v>26</v>
      </c>
      <c r="G21" s="34" t="s">
        <v>25</v>
      </c>
      <c r="H21" s="35" t="s">
        <v>24</v>
      </c>
      <c r="I21" s="36">
        <v>18</v>
      </c>
      <c r="J21" s="50" t="s">
        <v>17</v>
      </c>
      <c r="K21" s="96">
        <f ca="1">J21-K$12</f>
        <v>-193</v>
      </c>
      <c r="L21" s="131" t="str">
        <f ca="1">HYPERLINK("https://api.whatsapp.com/send?phone="&amp;E21&amp;"&amp;text="&amp;(IF(K21&lt;=0,"🚨 Hola, *"&amp;D21&amp;".*"&amp;"%0A"&amp;"Su cuenta de Hbo Max vencio, Porfavor renueve si aun desea el servicio."&amp;"%0A"&amp;"*Tiene todo el dia para realizar el pago de lo contrario al dia siguiente sera suspendida*"&amp;"%0A"&amp;"*GRACIAS*","*MENSAJE RECORDATORIO 🚨*"&amp;"%0A"&amp;"%0A"&amp;"Hola, "&amp;D21&amp;"."&amp;"%0A"&amp;"Te quedan "&amp;K21&amp;" Dias restantes para renovar su cuenta de *HBO MAX*")),"💰")</f>
        <v>💰</v>
      </c>
      <c r="M21" s="101" t="str">
        <f>HYPERLINK("https://api.whatsapp.com/send?phone="&amp;E21&amp;"&amp;text=*🔴 Cambio de Contraseña: Hbo Max*"&amp;"%0A"&amp;"%0A"&amp;"💻 Correo: *"&amp;G21&amp;"*"&amp;"%0A"&amp;"🔐 Nueva Contraseña: *"&amp;H21&amp;"*","🔐")</f>
        <v>🔐</v>
      </c>
      <c r="N21" s="101" t="str">
        <f>HYPERLINK("https://api.whatsapp.com/send?phone=51"&amp;E21&amp;"&amp;text=*🔴 HBO MAX COMPLETO*"&amp;"%0A"&amp;"%0A"&amp;"*📧 Correo:* "&amp;G21&amp;"%0A"&amp;"*🔑 Contraseña:* "&amp;H21&amp;"%0A"&amp;"%0A"&amp;"*🖥 Perfil:* "&amp;C21&amp;" - "&amp;F21&amp;"%0A"&amp;"%0A"&amp;"*📍 Vence:* "&amp;J21,"💻")</f>
        <v>💻</v>
      </c>
      <c r="O21" s="34" t="s">
        <v>22</v>
      </c>
      <c r="P21" s="142">
        <v>8</v>
      </c>
      <c r="Q21" s="143" t="s">
        <v>17</v>
      </c>
      <c r="R21" s="139">
        <f ca="1">Q21-TODAY()</f>
        <v>-193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42"/>
      <c r="E22" s="42"/>
      <c r="F22" s="42"/>
      <c r="G22" s="44"/>
      <c r="H22" s="42"/>
      <c r="I22" s="45"/>
      <c r="J22" s="46"/>
      <c r="K22" s="47"/>
      <c r="L22" s="48"/>
      <c r="M22" s="48"/>
      <c r="N22" s="48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5"/>
      <c r="D23" s="5"/>
      <c r="E23" s="5"/>
      <c r="F23" s="5"/>
      <c r="G23" s="5"/>
      <c r="H23" s="5"/>
      <c r="I23" s="6"/>
      <c r="J23" s="7"/>
      <c r="K23" s="8">
        <f ca="1">TODAY()</f>
        <v>45392</v>
      </c>
      <c r="L23" s="230" t="s">
        <v>9</v>
      </c>
      <c r="M23" s="231"/>
      <c r="N23" s="235"/>
      <c r="O23" s="117"/>
      <c r="P23" s="161" t="s">
        <v>46</v>
      </c>
      <c r="Q23" s="161"/>
      <c r="R23" s="162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B24" s="1"/>
      <c r="C24" s="63" t="s">
        <v>0</v>
      </c>
      <c r="D24" s="63" t="s">
        <v>11</v>
      </c>
      <c r="E24" s="63" t="s">
        <v>1</v>
      </c>
      <c r="F24" s="63" t="s">
        <v>50</v>
      </c>
      <c r="G24" s="63" t="s">
        <v>2</v>
      </c>
      <c r="H24" s="64" t="s">
        <v>12</v>
      </c>
      <c r="I24" s="65" t="s">
        <v>3</v>
      </c>
      <c r="J24" s="66" t="s">
        <v>4</v>
      </c>
      <c r="K24" s="117" t="s">
        <v>5</v>
      </c>
      <c r="L24" s="95" t="s">
        <v>6</v>
      </c>
      <c r="M24" s="95" t="s">
        <v>7</v>
      </c>
      <c r="N24" s="95" t="s">
        <v>8</v>
      </c>
      <c r="O24" s="163" t="s">
        <v>15</v>
      </c>
      <c r="P24" s="164" t="s">
        <v>45</v>
      </c>
      <c r="Q24" s="165" t="s">
        <v>4</v>
      </c>
      <c r="R24" s="166" t="s">
        <v>5</v>
      </c>
    </row>
    <row r="25" spans="1:30" s="111" customFormat="1" x14ac:dyDescent="0.25">
      <c r="B25" s="1"/>
      <c r="C25" s="13"/>
      <c r="D25" s="14"/>
      <c r="E25" s="13"/>
      <c r="F25" s="71"/>
      <c r="G25" s="15"/>
      <c r="H25" s="16"/>
      <c r="I25" s="17"/>
      <c r="J25" s="49"/>
      <c r="K25" s="92">
        <f ca="1">J25-K$12</f>
        <v>-45392</v>
      </c>
      <c r="L25" s="131" t="str">
        <f ca="1">HYPERLINK("https://api.whatsapp.com/send?phone="&amp;E25&amp;"&amp;text="&amp;(IF(K25&lt;=0,"🚨 Hola, *"&amp;D25&amp;".*"&amp;"%0A"&amp;"Su cuenta de Hbo Max vencio, Porfavor renueve si aun desea el servicio."&amp;"%0A"&amp;"*Tiene todo el dia para realizar el pago de lo contrario al dia siguiente sera suspendida*"&amp;"%0A"&amp;"*GRACIAS*","*MENSAJE RECORDATORIO 🚨*"&amp;"%0A"&amp;"%0A"&amp;"Hola, "&amp;D25&amp;"."&amp;"%0A"&amp;"Te quedan "&amp;K25&amp;" Dias restantes para renovar su cuenta de *HBO MAX*")),"💰")</f>
        <v>💰</v>
      </c>
      <c r="M25" s="101" t="str">
        <f>HYPERLINK("https://api.whatsapp.com/send?phone="&amp;E25&amp;"&amp;text=*🔴 Cambio de Contraseña: Hbo Max*"&amp;"%0A"&amp;"%0A"&amp;"💻 Correo: *"&amp;G25&amp;"*"&amp;"%0A"&amp;"🔐 Nueva Contraseña: *"&amp;H25&amp;"*","🔐")</f>
        <v>🔐</v>
      </c>
      <c r="N25" s="101" t="str">
        <f>HYPERLINK("https://api.whatsapp.com/send?phone=51"&amp;E25&amp;"&amp;text=*🔴 HBO MAX*"&amp;"%0A"&amp;"%0A"&amp;"*📧 Correo:* "&amp;G25&amp;"%0A"&amp;"*🔑 Contraseña:* "&amp;H25&amp;"%0A"&amp;"%0A"&amp;"*🖥 Perfil:* "&amp;C25&amp;"%0A"&amp;"%0A"&amp;"*📍 Vence:* "&amp;J25,"💻")</f>
        <v>💻</v>
      </c>
      <c r="O25" s="15"/>
      <c r="P25" s="141"/>
      <c r="Q25" s="58"/>
      <c r="R25" s="138">
        <f ca="1">Q25-TODAY()</f>
        <v>-45392</v>
      </c>
    </row>
    <row r="26" spans="1:30" s="111" customFormat="1" x14ac:dyDescent="0.25">
      <c r="B26" s="1"/>
      <c r="C26" s="19"/>
      <c r="D26" s="20"/>
      <c r="E26" s="19"/>
      <c r="F26" s="72"/>
      <c r="G26" s="22"/>
      <c r="H26" s="23"/>
      <c r="I26" s="24"/>
      <c r="J26" s="51"/>
      <c r="K26" s="93">
        <f ca="1">J26-K$12</f>
        <v>-45392</v>
      </c>
      <c r="L26" s="131" t="str">
        <f t="shared" ref="L26:L29" ca="1" si="4">HYPERLINK("https://api.whatsapp.com/send?phone="&amp;E26&amp;"&amp;text="&amp;(IF(K26&lt;=0,"🚨 Hola, *"&amp;D26&amp;".*"&amp;"%0A"&amp;"Su cuenta de Hbo Max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*HBO MAX*")),"💰")</f>
        <v>💰</v>
      </c>
      <c r="M26" s="101" t="str">
        <f t="shared" ref="M26:M29" si="5">HYPERLINK("https://api.whatsapp.com/send?phone="&amp;E26&amp;"&amp;text=*🔴 Cambio de Contraseña: Hbo Max*"&amp;"%0A"&amp;"%0A"&amp;"💻 Correo: *"&amp;G26&amp;"*"&amp;"%0A"&amp;"🔐 Nueva Contraseña: *"&amp;H26&amp;"*","🔐")</f>
        <v>🔐</v>
      </c>
      <c r="N26" s="101" t="str">
        <f t="shared" ref="N26:N29" si="6">HYPERLINK("https://api.whatsapp.com/send?phone=51"&amp;E26&amp;"&amp;text=*🔴 HBO MAX*"&amp;"%0A"&amp;"%0A"&amp;"*📧 Correo:* "&amp;G26&amp;"%0A"&amp;"*🔑 Contraseña:* "&amp;H26&amp;"%0A"&amp;"%0A"&amp;"*🖥 Perfil:* "&amp;C26&amp;"%0A"&amp;"%0A"&amp;"*📍 Vence:* "&amp;J26,"💻")</f>
        <v>💻</v>
      </c>
      <c r="O26" s="22"/>
      <c r="P26" s="24"/>
      <c r="Q26" s="59"/>
      <c r="R26" s="138">
        <f ca="1">Q26-TODAY()</f>
        <v>-45392</v>
      </c>
    </row>
    <row r="27" spans="1:30" s="111" customFormat="1" x14ac:dyDescent="0.25">
      <c r="B27" s="1"/>
      <c r="C27" s="19"/>
      <c r="D27" s="20"/>
      <c r="E27" s="19"/>
      <c r="F27" s="72"/>
      <c r="G27" s="22"/>
      <c r="H27" s="23"/>
      <c r="I27" s="26"/>
      <c r="J27" s="51"/>
      <c r="K27" s="93">
        <f t="shared" ref="K27:K28" ca="1" si="7">J27-K$12</f>
        <v>-45392</v>
      </c>
      <c r="L27" s="131" t="str">
        <f t="shared" ca="1" si="4"/>
        <v>💰</v>
      </c>
      <c r="M27" s="101" t="str">
        <f t="shared" si="5"/>
        <v>🔐</v>
      </c>
      <c r="N27" s="101" t="str">
        <f t="shared" si="6"/>
        <v>💻</v>
      </c>
      <c r="O27" s="22"/>
      <c r="P27" s="24"/>
      <c r="Q27" s="52"/>
      <c r="R27" s="138">
        <f ca="1">Q27-TODAY()</f>
        <v>-45392</v>
      </c>
    </row>
    <row r="28" spans="1:30" s="111" customFormat="1" x14ac:dyDescent="0.25">
      <c r="B28" s="1"/>
      <c r="C28" s="19"/>
      <c r="D28" s="20"/>
      <c r="E28" s="19"/>
      <c r="F28" s="73"/>
      <c r="G28" s="22"/>
      <c r="H28" s="23"/>
      <c r="I28" s="26"/>
      <c r="J28" s="51"/>
      <c r="K28" s="93">
        <f t="shared" ca="1" si="7"/>
        <v>-45392</v>
      </c>
      <c r="L28" s="131" t="str">
        <f t="shared" ca="1" si="4"/>
        <v>💰</v>
      </c>
      <c r="M28" s="101" t="str">
        <f t="shared" si="5"/>
        <v>🔐</v>
      </c>
      <c r="N28" s="101" t="str">
        <f t="shared" si="6"/>
        <v>💻</v>
      </c>
      <c r="O28" s="22"/>
      <c r="P28" s="24"/>
      <c r="Q28" s="52"/>
      <c r="R28" s="138">
        <f ca="1">Q28-TODAY()</f>
        <v>-45392</v>
      </c>
    </row>
    <row r="29" spans="1:30" s="111" customFormat="1" ht="16.5" thickBot="1" x14ac:dyDescent="0.3">
      <c r="B29" s="1"/>
      <c r="C29" s="27"/>
      <c r="D29" s="28"/>
      <c r="E29" s="27"/>
      <c r="F29" s="74"/>
      <c r="G29" s="29"/>
      <c r="H29" s="30"/>
      <c r="I29" s="31"/>
      <c r="J29" s="60"/>
      <c r="K29" s="94">
        <f ca="1">J29-K$12</f>
        <v>-45392</v>
      </c>
      <c r="L29" s="131" t="str">
        <f t="shared" ca="1" si="4"/>
        <v>💰</v>
      </c>
      <c r="M29" s="101" t="str">
        <f t="shared" si="5"/>
        <v>🔐</v>
      </c>
      <c r="N29" s="101" t="str">
        <f t="shared" si="6"/>
        <v>💻</v>
      </c>
      <c r="O29" s="29"/>
      <c r="P29" s="77"/>
      <c r="Q29" s="53"/>
      <c r="R29" s="139">
        <f ca="1">Q29-TODAY()</f>
        <v>-45392</v>
      </c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L11:N11"/>
    <mergeCell ref="L12:N12"/>
    <mergeCell ref="L23:N23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:K19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2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K25:K29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L14:N18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L19:N19 L22:N22">
    <cfRule type="iconSet" priority="14">
      <iconSet iconSet="3Symbols">
        <cfvo type="percent" val="0"/>
        <cfvo type="num" val="0" gte="0"/>
        <cfvo type="num" val="3"/>
      </iconSet>
    </cfRule>
  </conditionalFormatting>
  <conditionalFormatting sqref="L21:N21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5:N29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18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1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5:R29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4DE83E0B-BBB6-42E2-B24A-DD34D9A70EAC}"/>
    <hyperlink ref="G21" r:id="rId2" xr:uid="{3D34549E-D3A9-48BF-A9C2-3905B6E5A713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C336-F03F-4C6A-9038-7C97A88752D5}">
  <sheetPr>
    <tabColor theme="8" tint="-0.249977111117893"/>
  </sheetPr>
  <dimension ref="A1:AD404"/>
  <sheetViews>
    <sheetView topLeftCell="B1" zoomScale="91" zoomScaleNormal="91" workbookViewId="0">
      <selection activeCell="L7" sqref="L7"/>
    </sheetView>
  </sheetViews>
  <sheetFormatPr baseColWidth="10" defaultRowHeight="15.75" x14ac:dyDescent="0.25"/>
  <cols>
    <col min="1" max="2" width="11.42578125" style="106"/>
    <col min="3" max="3" width="9.42578125" style="106" customWidth="1"/>
    <col min="4" max="4" width="11.7109375" style="106" customWidth="1"/>
    <col min="5" max="5" width="13" style="106" customWidth="1"/>
    <col min="6" max="6" width="10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3.425781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140625" style="106" customWidth="1"/>
    <col min="16" max="16" width="9.140625" style="106" customWidth="1"/>
    <col min="17" max="17" width="11.42578125" style="106"/>
    <col min="18" max="18" width="8.710937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06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24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00"/>
      <c r="P12" s="168" t="s">
        <v>46</v>
      </c>
      <c r="Q12" s="168"/>
      <c r="R12" s="16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68" t="s">
        <v>0</v>
      </c>
      <c r="D13" s="68" t="s">
        <v>11</v>
      </c>
      <c r="E13" s="68" t="s">
        <v>1</v>
      </c>
      <c r="F13" s="68" t="s">
        <v>10</v>
      </c>
      <c r="G13" s="68" t="s">
        <v>2</v>
      </c>
      <c r="H13" s="68" t="s">
        <v>12</v>
      </c>
      <c r="I13" s="69" t="s">
        <v>3</v>
      </c>
      <c r="J13" s="70" t="s">
        <v>4</v>
      </c>
      <c r="K13" s="100" t="s">
        <v>5</v>
      </c>
      <c r="L13" s="95" t="s">
        <v>6</v>
      </c>
      <c r="M13" s="95" t="s">
        <v>7</v>
      </c>
      <c r="N13" s="95" t="s">
        <v>8</v>
      </c>
      <c r="O13" s="68" t="s">
        <v>15</v>
      </c>
      <c r="P13" s="169" t="s">
        <v>45</v>
      </c>
      <c r="Q13" s="70" t="s">
        <v>4</v>
      </c>
      <c r="R13" s="68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21</v>
      </c>
      <c r="D14" s="14" t="s">
        <v>22</v>
      </c>
      <c r="E14" s="13">
        <v>945174408</v>
      </c>
      <c r="F14" s="71" t="s">
        <v>28</v>
      </c>
      <c r="G14" s="15" t="s">
        <v>27</v>
      </c>
      <c r="H14" s="16" t="s">
        <v>24</v>
      </c>
      <c r="I14" s="17">
        <v>6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Prime video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*PRIME VIDEO*")),"💰")</f>
        <v>💰</v>
      </c>
      <c r="M14" s="101" t="str">
        <f>HYPERLINK("https://api.whatsapp.com/send?phone="&amp;E14&amp;"&amp;text=*🔴 Cambio de Contraseña: Prime Video*"&amp;"%0A"&amp;"%0A"&amp;"💻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PRIME VIDEO*"&amp;"%0A"&amp;"%0A"&amp;"*📧 Correo:* "&amp;G14&amp;"%0A"&amp;"*🔑 Contraseña:* "&amp;H14&amp;"%0A"&amp;"%0A"&amp;"*🖥 Perfil:* "&amp;C14&amp;" - "&amp;F14&amp;"%0A"&amp;"%0A"&amp;"*📍 Vence:* "&amp;J14,"💻")</f>
        <v>💻</v>
      </c>
      <c r="O14" s="171" t="s">
        <v>22</v>
      </c>
      <c r="P14" s="172">
        <v>8</v>
      </c>
      <c r="Q14" s="173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72"/>
      <c r="G15" s="22"/>
      <c r="H15" s="23"/>
      <c r="I15" s="24"/>
      <c r="J15" s="51"/>
      <c r="K15" s="93">
        <f ca="1">J15-K$12</f>
        <v>-45392</v>
      </c>
      <c r="L15" s="131" t="str">
        <f t="shared" ref="L15:L18" ca="1" si="0">HYPERLINK("https://api.whatsapp.com/send?phone="&amp;E15&amp;"&amp;text="&amp;(IF(K15&lt;=0,"🚨 Hola, *"&amp;D15&amp;".*"&amp;"%0A"&amp;"Su cuenta de Prime video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*PRIME VIDEO*")),"💰")</f>
        <v>💰</v>
      </c>
      <c r="M15" s="101" t="str">
        <f t="shared" ref="M15:M18" si="1">HYPERLINK("https://api.whatsapp.com/send?phone="&amp;E15&amp;"&amp;text=*🔴 Cambio de Contraseña: Prime Video*"&amp;"%0A"&amp;"%0A"&amp;"💻 Correo: *"&amp;G15&amp;"*"&amp;"%0A"&amp;"🔐 Nueva Contraseña: *"&amp;H15&amp;"*","🔐")</f>
        <v>🔐</v>
      </c>
      <c r="N15" s="101" t="str">
        <f t="shared" ref="N15:N18" si="2">HYPERLINK("https://api.whatsapp.com/send?phone=51"&amp;E15&amp;"&amp;text=*🔴 PRIME VIDEO*"&amp;"%0A"&amp;"%0A"&amp;"*📧 Correo:* "&amp;G15&amp;"%0A"&amp;"*🔑 Contraseña:* "&amp;H15&amp;"%0A"&amp;"%0A"&amp;"*🖥 Perfil:* "&amp;C15&amp;" - "&amp;F15&amp;"%0A"&amp;"%0A"&amp;"*📍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72"/>
      <c r="G16" s="22"/>
      <c r="H16" s="23"/>
      <c r="I16" s="26"/>
      <c r="J16" s="51"/>
      <c r="K16" s="93">
        <f t="shared" ref="K16:K17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73"/>
      <c r="G17" s="22"/>
      <c r="H17" s="23"/>
      <c r="I17" s="26"/>
      <c r="J17" s="51"/>
      <c r="K17" s="93">
        <f t="shared" ca="1" si="3"/>
        <v>-45392</v>
      </c>
      <c r="L17" s="13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27"/>
      <c r="D18" s="28"/>
      <c r="E18" s="27"/>
      <c r="F18" s="74"/>
      <c r="G18" s="29"/>
      <c r="H18" s="30"/>
      <c r="I18" s="31"/>
      <c r="J18" s="60"/>
      <c r="K18" s="94">
        <f ca="1">J18-K$12</f>
        <v>-45392</v>
      </c>
      <c r="L18" s="13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9"/>
      <c r="P18" s="77"/>
      <c r="Q18" s="53"/>
      <c r="R18" s="139">
        <f ca="1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42"/>
      <c r="D19" s="42"/>
      <c r="E19" s="42"/>
      <c r="F19" s="42"/>
      <c r="G19" s="42"/>
      <c r="H19" s="42"/>
      <c r="I19" s="45"/>
      <c r="J19" s="47"/>
      <c r="K19" s="47"/>
      <c r="L19" s="48"/>
      <c r="M19" s="48"/>
      <c r="N19" s="48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68" t="s">
        <v>11</v>
      </c>
      <c r="E20" s="68" t="s">
        <v>1</v>
      </c>
      <c r="F20" s="68" t="s">
        <v>15</v>
      </c>
      <c r="G20" s="68" t="s">
        <v>2</v>
      </c>
      <c r="H20" s="68" t="s">
        <v>12</v>
      </c>
      <c r="I20" s="69" t="s">
        <v>3</v>
      </c>
      <c r="J20" s="75" t="s">
        <v>4</v>
      </c>
      <c r="K20" s="100" t="s">
        <v>5</v>
      </c>
      <c r="L20" s="95" t="s">
        <v>6</v>
      </c>
      <c r="M20" s="95" t="s">
        <v>7</v>
      </c>
      <c r="N20" s="95" t="s">
        <v>8</v>
      </c>
      <c r="O20" s="68" t="s">
        <v>15</v>
      </c>
      <c r="P20" s="169" t="s">
        <v>45</v>
      </c>
      <c r="Q20" s="70" t="s">
        <v>4</v>
      </c>
      <c r="R20" s="68" t="s">
        <v>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32" t="s">
        <v>22</v>
      </c>
      <c r="E21" s="32">
        <v>945174408</v>
      </c>
      <c r="F21" s="32" t="s">
        <v>26</v>
      </c>
      <c r="G21" s="34" t="s">
        <v>29</v>
      </c>
      <c r="H21" s="35" t="s">
        <v>24</v>
      </c>
      <c r="I21" s="36">
        <v>18</v>
      </c>
      <c r="J21" s="50" t="s">
        <v>44</v>
      </c>
      <c r="K21" s="96">
        <f ca="1">J21-K$12</f>
        <v>-224</v>
      </c>
      <c r="L21" s="131" t="str">
        <f ca="1">HYPERLINK("https://api.whatsapp.com/send?phone="&amp;E21&amp;"&amp;text="&amp;(IF(K21&lt;=0,"🚨 Hola, *"&amp;D21&amp;".*"&amp;"%0A"&amp;"Su cuenta de Prime Video vencio, Porfavor renueve si aun desea el servicio."&amp;"%0A"&amp;"*Tiene todo el dia para realizar el pago de lo contrario al dia siguiente sera suspendida*"&amp;"%0A"&amp;"*GRACIAS*","*MENSAJE RECORDATORIO 🚨*"&amp;"%0A"&amp;"%0A"&amp;"Hola, "&amp;D21&amp;"."&amp;"%0A"&amp;"Te quedan "&amp;K21&amp;" Dias restantes para renovar su cuenta de *PRIME VIDEO*")),"💰")</f>
        <v>💰</v>
      </c>
      <c r="M21" s="101" t="str">
        <f>HYPERLINK("https://api.whatsapp.com/send?phone="&amp;E21&amp;"&amp;text=*🔴 Cambio de Contraseña: Prime Video*"&amp;"%0A"&amp;"%0A"&amp;"💻 Correo: *"&amp;G21&amp;"*"&amp;"%0A"&amp;"🔐 Nueva Contraseña: *"&amp;H21&amp;"*","🔐")</f>
        <v>🔐</v>
      </c>
      <c r="N21" s="101" t="str">
        <f>HYPERLINK("https://api.whatsapp.com/send?phone=51"&amp;E21&amp;"&amp;text=*🔴 PRIME VIDEO COMPLETO*"&amp;"%0A"&amp;"%0A"&amp;"*📧 Correo:* "&amp;G21&amp;"%0A"&amp;"*🔑 Contraseña:* "&amp;H21&amp;"%0A"&amp;"%0A"&amp;"*🖥 Perfil:* "&amp;C21&amp;" - "&amp;F21&amp;"%0A"&amp;"%0A"&amp;"*📍 Vence:* "&amp;J21,"💻")</f>
        <v>💻</v>
      </c>
      <c r="O21" s="174" t="s">
        <v>22</v>
      </c>
      <c r="P21" s="175">
        <v>8</v>
      </c>
      <c r="Q21" s="176" t="s">
        <v>17</v>
      </c>
      <c r="R21" s="139">
        <f ca="1">Q21-TODAY()</f>
        <v>-193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42"/>
      <c r="E22" s="42"/>
      <c r="F22" s="42"/>
      <c r="G22" s="44"/>
      <c r="H22" s="42"/>
      <c r="I22" s="45"/>
      <c r="J22" s="46"/>
      <c r="K22" s="47"/>
      <c r="L22" s="48"/>
      <c r="M22" s="48"/>
      <c r="N22" s="48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5"/>
      <c r="D23" s="5"/>
      <c r="E23" s="5"/>
      <c r="F23" s="5"/>
      <c r="G23" s="5"/>
      <c r="H23" s="5"/>
      <c r="I23" s="6"/>
      <c r="J23" s="7"/>
      <c r="K23" s="8">
        <f ca="1">TODAY()</f>
        <v>45392</v>
      </c>
      <c r="L23" s="230" t="s">
        <v>9</v>
      </c>
      <c r="M23" s="231"/>
      <c r="N23" s="235"/>
      <c r="O23" s="100"/>
      <c r="P23" s="168" t="s">
        <v>46</v>
      </c>
      <c r="Q23" s="168"/>
      <c r="R23" s="169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68" t="s">
        <v>0</v>
      </c>
      <c r="D24" s="68" t="s">
        <v>11</v>
      </c>
      <c r="E24" s="68" t="s">
        <v>1</v>
      </c>
      <c r="F24" s="68" t="s">
        <v>10</v>
      </c>
      <c r="G24" s="68" t="s">
        <v>2</v>
      </c>
      <c r="H24" s="68" t="s">
        <v>12</v>
      </c>
      <c r="I24" s="69" t="s">
        <v>3</v>
      </c>
      <c r="J24" s="70" t="s">
        <v>4</v>
      </c>
      <c r="K24" s="100" t="s">
        <v>5</v>
      </c>
      <c r="L24" s="95" t="s">
        <v>6</v>
      </c>
      <c r="M24" s="95" t="s">
        <v>7</v>
      </c>
      <c r="N24" s="95" t="s">
        <v>8</v>
      </c>
      <c r="O24" s="68" t="s">
        <v>15</v>
      </c>
      <c r="P24" s="169" t="s">
        <v>45</v>
      </c>
      <c r="Q24" s="70" t="s">
        <v>4</v>
      </c>
      <c r="R24" s="68" t="s">
        <v>5</v>
      </c>
    </row>
    <row r="25" spans="1:30" s="111" customFormat="1" x14ac:dyDescent="0.25">
      <c r="C25" s="13"/>
      <c r="D25" s="14"/>
      <c r="E25" s="13"/>
      <c r="F25" s="71"/>
      <c r="G25" s="15"/>
      <c r="H25" s="16"/>
      <c r="I25" s="17"/>
      <c r="J25" s="49"/>
      <c r="K25" s="92">
        <f ca="1">J25-K$12</f>
        <v>-45392</v>
      </c>
      <c r="L25" s="131" t="str">
        <f ca="1">HYPERLINK("https://api.whatsapp.com/send?phone="&amp;E25&amp;"&amp;text="&amp;(IF(K25&lt;=0,"🚨 Hola, *"&amp;D25&amp;".*"&amp;"%0A"&amp;"Su cuenta de Prime video vencio, Porfavor renueve si aun desea el servicio."&amp;"%0A"&amp;"*Tiene todo el dia para realizar el pago de lo contrario al dia siguiente sera suspendida*"&amp;"%0A"&amp;"*GRACIAS*","*MENSAJE RECORDATORIO 🚨*"&amp;"%0A"&amp;"%0A"&amp;"Hola, "&amp;D25&amp;"."&amp;"%0A"&amp;"Te quedan "&amp;K25&amp;" Dias restantes para renovar su cuenta de *PRIME VIDEO*")),"💰")</f>
        <v>💰</v>
      </c>
      <c r="M25" s="101" t="str">
        <f>HYPERLINK("https://api.whatsapp.com/send?phone="&amp;E25&amp;"&amp;text=*🔴 Cambio de Contraseña: Prime Video*"&amp;"%0A"&amp;"%0A"&amp;"💻 Correo: *"&amp;G25&amp;"*"&amp;"%0A"&amp;"🔐 Nueva Contraseña: *"&amp;H25&amp;"*","🔐")</f>
        <v>🔐</v>
      </c>
      <c r="N25" s="101" t="str">
        <f>HYPERLINK("https://api.whatsapp.com/send?phone=51"&amp;E25&amp;"&amp;text=*🔴 PRIME VIDEO*"&amp;"%0A"&amp;"%0A"&amp;"*📧 Correo:* "&amp;G25&amp;"%0A"&amp;"*🔑 Contraseña:* "&amp;H25&amp;"%0A"&amp;"%0A"&amp;"*🖥 Perfil:* "&amp;C25&amp;" - "&amp;F25&amp;"%0A"&amp;"%0A"&amp;"*📍 Vence:* "&amp;J25,"💻")</f>
        <v>💻</v>
      </c>
      <c r="O25" s="171"/>
      <c r="P25" s="172"/>
      <c r="Q25" s="173"/>
      <c r="R25" s="138">
        <f ca="1">Q25-TODAY()</f>
        <v>-45392</v>
      </c>
    </row>
    <row r="26" spans="1:30" s="111" customFormat="1" x14ac:dyDescent="0.25">
      <c r="C26" s="19"/>
      <c r="D26" s="20"/>
      <c r="E26" s="19"/>
      <c r="F26" s="72"/>
      <c r="G26" s="22"/>
      <c r="H26" s="23"/>
      <c r="I26" s="24"/>
      <c r="J26" s="51"/>
      <c r="K26" s="93">
        <f ca="1">J26-K$12</f>
        <v>-45392</v>
      </c>
      <c r="L26" s="131" t="str">
        <f t="shared" ref="L26:L29" ca="1" si="4">HYPERLINK("https://api.whatsapp.com/send?phone="&amp;E26&amp;"&amp;text="&amp;(IF(K26&lt;=0,"🚨 Hola, *"&amp;D26&amp;".*"&amp;"%0A"&amp;"Su cuenta de Prime video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*PRIME VIDEO*")),"💰")</f>
        <v>💰</v>
      </c>
      <c r="M26" s="101" t="str">
        <f t="shared" ref="M26:M29" si="5">HYPERLINK("https://api.whatsapp.com/send?phone="&amp;E26&amp;"&amp;text=*🔴 Cambio de Contraseña: Prime Video*"&amp;"%0A"&amp;"%0A"&amp;"💻 Correo: *"&amp;G26&amp;"*"&amp;"%0A"&amp;"🔐 Nueva Contraseña: *"&amp;H26&amp;"*","🔐")</f>
        <v>🔐</v>
      </c>
      <c r="N26" s="101" t="str">
        <f t="shared" ref="N26:N29" si="6">HYPERLINK("https://api.whatsapp.com/send?phone=51"&amp;E26&amp;"&amp;text=*🔴 PRIME VIDEO*"&amp;"%0A"&amp;"%0A"&amp;"*📧 Correo:* "&amp;G26&amp;"%0A"&amp;"*🔑 Contraseña:* "&amp;H26&amp;"%0A"&amp;"%0A"&amp;"*🖥 Perfil:* "&amp;C26&amp;" - "&amp;F26&amp;"%0A"&amp;"%0A"&amp;"*📍 Vence:* "&amp;J26,"💻")</f>
        <v>💻</v>
      </c>
      <c r="O26" s="22"/>
      <c r="P26" s="24"/>
      <c r="Q26" s="59"/>
      <c r="R26" s="138">
        <f ca="1">Q26-TODAY()</f>
        <v>-45392</v>
      </c>
    </row>
    <row r="27" spans="1:30" s="111" customFormat="1" x14ac:dyDescent="0.25">
      <c r="C27" s="19"/>
      <c r="D27" s="20"/>
      <c r="E27" s="19"/>
      <c r="F27" s="72"/>
      <c r="G27" s="22"/>
      <c r="H27" s="23"/>
      <c r="I27" s="26"/>
      <c r="J27" s="51"/>
      <c r="K27" s="93">
        <f t="shared" ref="K27:K28" ca="1" si="7">J27-K$12</f>
        <v>-45392</v>
      </c>
      <c r="L27" s="131" t="str">
        <f t="shared" ca="1" si="4"/>
        <v>💰</v>
      </c>
      <c r="M27" s="101" t="str">
        <f t="shared" si="5"/>
        <v>🔐</v>
      </c>
      <c r="N27" s="101" t="str">
        <f t="shared" si="6"/>
        <v>💻</v>
      </c>
      <c r="O27" s="22"/>
      <c r="P27" s="24"/>
      <c r="Q27" s="52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73"/>
      <c r="G28" s="22"/>
      <c r="H28" s="23"/>
      <c r="I28" s="26"/>
      <c r="J28" s="51"/>
      <c r="K28" s="93">
        <f t="shared" ca="1" si="7"/>
        <v>-45392</v>
      </c>
      <c r="L28" s="131" t="str">
        <f t="shared" ca="1" si="4"/>
        <v>💰</v>
      </c>
      <c r="M28" s="101" t="str">
        <f t="shared" si="5"/>
        <v>🔐</v>
      </c>
      <c r="N28" s="101" t="str">
        <f t="shared" si="6"/>
        <v>💻</v>
      </c>
      <c r="O28" s="22"/>
      <c r="P28" s="24"/>
      <c r="Q28" s="52"/>
      <c r="R28" s="138">
        <f ca="1">Q28-TODAY()</f>
        <v>-45392</v>
      </c>
    </row>
    <row r="29" spans="1:30" s="111" customFormat="1" ht="16.5" thickBot="1" x14ac:dyDescent="0.3">
      <c r="C29" s="27"/>
      <c r="D29" s="28"/>
      <c r="E29" s="27"/>
      <c r="F29" s="74"/>
      <c r="G29" s="29"/>
      <c r="H29" s="30"/>
      <c r="I29" s="31"/>
      <c r="J29" s="60"/>
      <c r="K29" s="94">
        <f ca="1">J29-K$12</f>
        <v>-45392</v>
      </c>
      <c r="L29" s="131" t="str">
        <f t="shared" ca="1" si="4"/>
        <v>💰</v>
      </c>
      <c r="M29" s="101" t="str">
        <f t="shared" si="5"/>
        <v>🔐</v>
      </c>
      <c r="N29" s="101" t="str">
        <f t="shared" si="6"/>
        <v>💻</v>
      </c>
      <c r="O29" s="29"/>
      <c r="P29" s="77"/>
      <c r="Q29" s="53"/>
      <c r="R29" s="139">
        <f ca="1">Q29-TODAY()</f>
        <v>-45392</v>
      </c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L11:N11"/>
    <mergeCell ref="L12:N12"/>
    <mergeCell ref="L23:N23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:K19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22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K25:K29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L14:N18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L19:N19 L22:N22">
    <cfRule type="iconSet" priority="13">
      <iconSet iconSet="3Symbols">
        <cfvo type="percent" val="0"/>
        <cfvo type="num" val="0" gte="0"/>
        <cfvo type="num" val="3"/>
      </iconSet>
    </cfRule>
  </conditionalFormatting>
  <conditionalFormatting sqref="L21:N21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5:N29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18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1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5:R29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B0819055-396A-4E3C-A461-909F8CDB291C}"/>
    <hyperlink ref="G21" r:id="rId2" xr:uid="{78572862-5F6D-4A3D-A8BD-24286C1923BE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4689-BBDB-4AC9-96F4-37E0812A4D1B}">
  <sheetPr>
    <tabColor rgb="FF00B0F0"/>
  </sheetPr>
  <dimension ref="A1:AD404"/>
  <sheetViews>
    <sheetView topLeftCell="C1" zoomScale="95" zoomScaleNormal="95" workbookViewId="0">
      <selection activeCell="O12" sqref="O12:R14"/>
    </sheetView>
  </sheetViews>
  <sheetFormatPr baseColWidth="10" defaultRowHeight="15.75" x14ac:dyDescent="0.25"/>
  <cols>
    <col min="1" max="3" width="11.42578125" style="106"/>
    <col min="4" max="4" width="12" style="106" customWidth="1"/>
    <col min="5" max="5" width="14.42578125" style="106" customWidth="1"/>
    <col min="6" max="6" width="14.2851562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3.425781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42578125" style="106" customWidth="1"/>
    <col min="16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6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06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40" t="str">
        <f>"GANANCIAS: "&amp;SUM(I14:I866)</f>
        <v>GANANCIAS: 20</v>
      </c>
      <c r="M11" s="241"/>
      <c r="N11" s="242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00"/>
      <c r="P12" s="168" t="s">
        <v>46</v>
      </c>
      <c r="Q12" s="168"/>
      <c r="R12" s="16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5"/>
      <c r="D13" s="68" t="s">
        <v>11</v>
      </c>
      <c r="E13" s="68" t="s">
        <v>1</v>
      </c>
      <c r="F13" s="68" t="s">
        <v>50</v>
      </c>
      <c r="G13" s="68" t="s">
        <v>2</v>
      </c>
      <c r="H13" s="68" t="s">
        <v>12</v>
      </c>
      <c r="I13" s="69" t="s">
        <v>18</v>
      </c>
      <c r="J13" s="70" t="s">
        <v>4</v>
      </c>
      <c r="K13" s="100" t="s">
        <v>5</v>
      </c>
      <c r="L13" s="95" t="s">
        <v>6</v>
      </c>
      <c r="M13" s="95" t="s">
        <v>7</v>
      </c>
      <c r="N13" s="95" t="s">
        <v>8</v>
      </c>
      <c r="O13" s="68" t="s">
        <v>15</v>
      </c>
      <c r="P13" s="169" t="s">
        <v>45</v>
      </c>
      <c r="Q13" s="70" t="s">
        <v>4</v>
      </c>
      <c r="R13" s="68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thickBot="1" x14ac:dyDescent="0.3">
      <c r="A14" s="1"/>
      <c r="B14" s="1"/>
      <c r="C14" s="5"/>
      <c r="D14" s="32" t="s">
        <v>22</v>
      </c>
      <c r="E14" s="32">
        <v>945174408</v>
      </c>
      <c r="F14" s="32" t="s">
        <v>26</v>
      </c>
      <c r="G14" s="34" t="s">
        <v>29</v>
      </c>
      <c r="H14" s="35" t="s">
        <v>24</v>
      </c>
      <c r="I14" s="36">
        <v>20</v>
      </c>
      <c r="J14" s="50" t="s">
        <v>44</v>
      </c>
      <c r="K14" s="96">
        <f ca="1">J14-K$12</f>
        <v>-224</v>
      </c>
      <c r="L14" s="131" t="str">
        <f ca="1">HYPERLINK("https://api.whatsapp.com/send?phone="&amp;E14&amp;"&amp;text="&amp;(IF(K14&lt;=0,"🚨 Hola, *"&amp;D14&amp;".*"&amp;"%0A"&amp;"Su cuenta de Movistar Play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*MOVISTAR PLAY*")),"💰")</f>
        <v>💰</v>
      </c>
      <c r="M14" s="101" t="str">
        <f>HYPERLINK("https://api.whatsapp.com/send?phone="&amp;E14&amp;"&amp;text=*🔴 Cambio de contraseña: Movistar Play*"&amp;"%0A"&amp;"%0A"&amp;"💻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MOVISTAR PLAY*"&amp;"%0A"&amp;"%0A"&amp;"*📧 Correo:* "&amp;G14&amp;"%0A"&amp;"*🔑 Contraseña:* "&amp;H14&amp;"%0A"&amp;"%0A"&amp;"*🖥 Perfil:* "&amp;D14&amp;"%0A"&amp;"%0A"&amp;"*📍 Vence:* "&amp;J14,"💻")</f>
        <v>💻</v>
      </c>
      <c r="O14" s="174" t="s">
        <v>22</v>
      </c>
      <c r="P14" s="175">
        <v>8</v>
      </c>
      <c r="Q14" s="176" t="s">
        <v>17</v>
      </c>
      <c r="R14" s="139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45"/>
      <c r="Q15" s="108"/>
      <c r="R15" s="3"/>
      <c r="S15" s="5" t="s">
        <v>49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thickBot="1" x14ac:dyDescent="0.3">
      <c r="A16" s="1"/>
      <c r="B16" s="1"/>
      <c r="C16" s="1"/>
      <c r="D16" s="68" t="s">
        <v>11</v>
      </c>
      <c r="E16" s="68" t="s">
        <v>1</v>
      </c>
      <c r="F16" s="68" t="s">
        <v>50</v>
      </c>
      <c r="G16" s="68" t="s">
        <v>2</v>
      </c>
      <c r="H16" s="68" t="s">
        <v>12</v>
      </c>
      <c r="I16" s="69" t="s">
        <v>18</v>
      </c>
      <c r="J16" s="70" t="s">
        <v>4</v>
      </c>
      <c r="K16" s="100" t="s">
        <v>5</v>
      </c>
      <c r="L16" s="95" t="s">
        <v>6</v>
      </c>
      <c r="M16" s="95" t="s">
        <v>7</v>
      </c>
      <c r="N16" s="95" t="s">
        <v>8</v>
      </c>
      <c r="O16" s="68" t="s">
        <v>15</v>
      </c>
      <c r="P16" s="169" t="s">
        <v>45</v>
      </c>
      <c r="Q16" s="70" t="s">
        <v>4</v>
      </c>
      <c r="R16" s="68" t="s">
        <v>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thickBot="1" x14ac:dyDescent="0.3">
      <c r="A17" s="1"/>
      <c r="B17" s="1"/>
      <c r="C17" s="1"/>
      <c r="D17" s="32"/>
      <c r="E17" s="32"/>
      <c r="F17" s="32"/>
      <c r="G17" s="34"/>
      <c r="H17" s="35"/>
      <c r="I17" s="36"/>
      <c r="J17" s="50"/>
      <c r="K17" s="96">
        <f ca="1">J17-K$12</f>
        <v>-45392</v>
      </c>
      <c r="L17" s="131" t="str">
        <f ca="1">HYPERLINK("https://api.whatsapp.com/send?phone="&amp;E17&amp;"&amp;text="&amp;(IF(K17&lt;=0,"🚨 Hola, *"&amp;D17&amp;".*"&amp;"%0A"&amp;"Su cuenta de Movistar Play vencio, Porfavor renueve si aun desea el servicio."&amp;"%0A"&amp;"*Tiene todo el dia para realizar el pago de lo contrario al dia siguiente sera suspendida*"&amp;"%0A"&amp;"*GRACIAS*","*MENSAJE RECORDATORIO 🚨*"&amp;"%0A"&amp;"%0A"&amp;"Hola, "&amp;D17&amp;"."&amp;"%0A"&amp;"Te quedan "&amp;K17&amp;" Dias restantes para renovar su cuenta de *MOVISTAR PLAY*")),"💰")</f>
        <v>💰</v>
      </c>
      <c r="M17" s="101" t="str">
        <f>HYPERLINK("https://api.whatsapp.com/send?phone="&amp;E17&amp;"&amp;text=*🔴 Cambio de contraseña: Movistar Play*"&amp;"%0A"&amp;"%0A"&amp;"💻 Correo: *"&amp;G17&amp;"*"&amp;"%0A"&amp;"🔐 Nueva Contraseña: *"&amp;H17&amp;"*","🔐")</f>
        <v>🔐</v>
      </c>
      <c r="N17" s="101" t="str">
        <f>HYPERLINK("https://api.whatsapp.com/send?phone=51"&amp;E17&amp;"&amp;text=*🔴 MOVISTAR PLAY*"&amp;"%0A"&amp;"%0A"&amp;"*📧 Correo:* "&amp;G17&amp;"%0A"&amp;"*🔑 Contraseña:* "&amp;H17&amp;"%0A"&amp;"%0A"&amp;"*🖥 Perfil:* "&amp;D17&amp;"%0A"&amp;"%0A"&amp;"*📍 Vence:* "&amp;J17,"💻")</f>
        <v>💻</v>
      </c>
      <c r="O17" s="174" t="s">
        <v>22</v>
      </c>
      <c r="P17" s="175">
        <v>8</v>
      </c>
      <c r="Q17" s="176" t="s">
        <v>17</v>
      </c>
      <c r="R17" s="139">
        <f ca="1">Q17-TODAY()</f>
        <v>-193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45"/>
      <c r="Q18" s="108"/>
      <c r="R18" s="3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1"/>
      <c r="D19" s="68" t="s">
        <v>11</v>
      </c>
      <c r="E19" s="68" t="s">
        <v>1</v>
      </c>
      <c r="F19" s="68" t="s">
        <v>50</v>
      </c>
      <c r="G19" s="68" t="s">
        <v>2</v>
      </c>
      <c r="H19" s="68" t="s">
        <v>12</v>
      </c>
      <c r="I19" s="69" t="s">
        <v>18</v>
      </c>
      <c r="J19" s="70" t="s">
        <v>4</v>
      </c>
      <c r="K19" s="100" t="s">
        <v>5</v>
      </c>
      <c r="L19" s="95" t="s">
        <v>6</v>
      </c>
      <c r="M19" s="95" t="s">
        <v>7</v>
      </c>
      <c r="N19" s="95" t="s">
        <v>8</v>
      </c>
      <c r="O19" s="68" t="s">
        <v>15</v>
      </c>
      <c r="P19" s="169" t="s">
        <v>45</v>
      </c>
      <c r="Q19" s="70" t="s">
        <v>4</v>
      </c>
      <c r="R19" s="68" t="s">
        <v>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1"/>
      <c r="D20" s="32"/>
      <c r="E20" s="32"/>
      <c r="F20" s="32"/>
      <c r="G20" s="34"/>
      <c r="H20" s="35"/>
      <c r="I20" s="36"/>
      <c r="J20" s="50"/>
      <c r="K20" s="96">
        <f ca="1">J20-K$12</f>
        <v>-45392</v>
      </c>
      <c r="L20" s="131" t="str">
        <f ca="1">HYPERLINK("https://api.whatsapp.com/send?phone="&amp;E20&amp;"&amp;text="&amp;(IF(K20&lt;=0,"🚨 Hola, *"&amp;D20&amp;".*"&amp;"%0A"&amp;"Su cuenta de Movistar Play vencio, Porfavor renueve si aun desea el servicio."&amp;"%0A"&amp;"*Tiene todo el dia para realizar el pago de lo contrario al dia siguiente sera suspendida*"&amp;"%0A"&amp;"*GRACIAS*","*MENSAJE RECORDATORIO 🚨*"&amp;"%0A"&amp;"%0A"&amp;"Hola, "&amp;D20&amp;"."&amp;"%0A"&amp;"Te quedan "&amp;K20&amp;" Dias restantes para renovar su cuenta de *MOVISTAR PLAY*")),"💰")</f>
        <v>💰</v>
      </c>
      <c r="M20" s="101" t="str">
        <f>HYPERLINK("https://api.whatsapp.com/send?phone="&amp;E20&amp;"&amp;text=*🔴 Cambio de contraseña: Movistar Play*"&amp;"%0A"&amp;"%0A"&amp;"💻 Correo: *"&amp;G20&amp;"*"&amp;"%0A"&amp;"🔐 Nueva Contraseña: *"&amp;H20&amp;"*","🔐")</f>
        <v>🔐</v>
      </c>
      <c r="N20" s="101" t="str">
        <f>HYPERLINK("https://api.whatsapp.com/send?phone=51"&amp;E20&amp;"&amp;text=*🔴 MOVISTAR PLAY*"&amp;"%0A"&amp;"%0A"&amp;"*📧 Correo:* "&amp;G20&amp;"%0A"&amp;"*🔑 Contraseña:* "&amp;H20&amp;"%0A"&amp;"%0A"&amp;"*🖥 Perfil:* "&amp;D20&amp;"%0A"&amp;"%0A"&amp;"*📍 Vence:* "&amp;J20,"💻")</f>
        <v>💻</v>
      </c>
      <c r="O20" s="174" t="s">
        <v>22</v>
      </c>
      <c r="P20" s="175">
        <v>8</v>
      </c>
      <c r="Q20" s="176" t="s">
        <v>17</v>
      </c>
      <c r="R20" s="139">
        <f ca="1">Q20-TODAY()</f>
        <v>-193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45"/>
      <c r="Q21" s="146"/>
      <c r="R21" s="3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5"/>
      <c r="Q23" s="146"/>
      <c r="R23" s="3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x14ac:dyDescent="0.25">
      <c r="C24" s="42"/>
      <c r="D24" s="42"/>
      <c r="E24" s="42"/>
      <c r="F24" s="42"/>
      <c r="G24" s="44"/>
      <c r="H24" s="42"/>
      <c r="I24" s="45"/>
      <c r="J24" s="46"/>
      <c r="K24" s="47"/>
      <c r="L24" s="48"/>
      <c r="M24" s="48"/>
      <c r="N24" s="48"/>
    </row>
    <row r="25" spans="1:30" s="111" customFormat="1" x14ac:dyDescent="0.25">
      <c r="C25" s="42"/>
      <c r="D25" s="42"/>
      <c r="E25" s="42"/>
      <c r="F25" s="43"/>
      <c r="G25" s="44"/>
      <c r="H25" s="42"/>
      <c r="I25" s="112"/>
      <c r="J25" s="46"/>
      <c r="K25" s="47"/>
      <c r="L25" s="48"/>
      <c r="M25" s="48"/>
      <c r="N25" s="48"/>
    </row>
    <row r="26" spans="1:30" s="111" customFormat="1" x14ac:dyDescent="0.25">
      <c r="C26" s="42"/>
      <c r="D26" s="42"/>
      <c r="E26" s="42"/>
      <c r="F26" s="43"/>
      <c r="G26" s="44"/>
      <c r="H26" s="42"/>
      <c r="I26" s="45"/>
      <c r="J26" s="46"/>
      <c r="K26" s="47"/>
      <c r="L26" s="48"/>
      <c r="M26" s="48"/>
      <c r="N26" s="48"/>
    </row>
    <row r="27" spans="1:30" s="111" customFormat="1" x14ac:dyDescent="0.25">
      <c r="C27" s="42"/>
      <c r="D27" s="42"/>
      <c r="E27" s="42"/>
      <c r="F27" s="42"/>
      <c r="G27" s="44"/>
      <c r="H27" s="42"/>
      <c r="I27" s="45"/>
      <c r="J27" s="46"/>
      <c r="K27" s="47"/>
      <c r="L27" s="48"/>
      <c r="M27" s="48"/>
      <c r="N27" s="48"/>
    </row>
    <row r="28" spans="1:30" s="111" customFormat="1" x14ac:dyDescent="0.25">
      <c r="C28" s="42"/>
      <c r="D28" s="42"/>
      <c r="E28" s="42"/>
      <c r="F28" s="42"/>
      <c r="G28" s="44"/>
      <c r="H28" s="42"/>
      <c r="I28" s="45"/>
      <c r="J28" s="46"/>
      <c r="K28" s="47"/>
      <c r="L28" s="48"/>
      <c r="M28" s="48"/>
      <c r="N28" s="48"/>
    </row>
    <row r="29" spans="1:30" s="111" customFormat="1" x14ac:dyDescent="0.25">
      <c r="I29" s="113"/>
      <c r="J29" s="114"/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1">
    <mergeCell ref="L11:N11"/>
    <mergeCell ref="L12:N12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">
    <cfRule type="iconSet" priority="13">
      <iconSet iconSet="3Symbols">
        <cfvo type="percent" val="0"/>
        <cfvo type="num" val="0" gte="0"/>
        <cfvo type="num" val="3"/>
      </iconSet>
    </cfRule>
  </conditionalFormatting>
  <conditionalFormatting sqref="K17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K20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K24:N28">
    <cfRule type="iconSet" priority="15">
      <iconSet iconSet="3Symbols">
        <cfvo type="percent" val="0"/>
        <cfvo type="num" val="0" gte="0"/>
        <cfvo type="num" val="3"/>
      </iconSet>
    </cfRule>
  </conditionalFormatting>
  <conditionalFormatting sqref="L17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L20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L14:N14">
    <cfRule type="iconSet" priority="16">
      <iconSet iconSet="3Symbols">
        <cfvo type="percent" val="0"/>
        <cfvo type="num" val="0" gte="0"/>
        <cfvo type="num" val="3"/>
      </iconSet>
    </cfRule>
  </conditionalFormatting>
  <conditionalFormatting sqref="M17:N17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M20:N20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R14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R17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20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29D53627-E506-4EED-B277-1E2504D142B2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5706-E479-40AA-BBF4-DC2BC0705652}">
  <sheetPr>
    <tabColor theme="8" tint="-0.499984740745262"/>
  </sheetPr>
  <dimension ref="A1:AD404"/>
  <sheetViews>
    <sheetView topLeftCell="B7" zoomScale="86" zoomScaleNormal="86" workbookViewId="0">
      <selection activeCell="K6" sqref="K6"/>
    </sheetView>
  </sheetViews>
  <sheetFormatPr baseColWidth="10" defaultRowHeight="15.75" x14ac:dyDescent="0.25"/>
  <cols>
    <col min="1" max="2" width="11.42578125" style="106"/>
    <col min="3" max="3" width="9.85546875" style="106" customWidth="1"/>
    <col min="4" max="4" width="11.5703125" style="106" customWidth="1"/>
    <col min="5" max="5" width="14.140625" style="106" customWidth="1"/>
    <col min="6" max="6" width="13.8554687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3.42578125" style="116" customWidth="1"/>
    <col min="11" max="11" width="11.14062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5703125" style="106" customWidth="1"/>
    <col min="16" max="16" width="10.140625" style="106" customWidth="1"/>
    <col min="17" max="17" width="11.42578125" style="106"/>
    <col min="18" max="18" width="10.425781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185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185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6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185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185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06"/>
      <c r="H6" s="1"/>
      <c r="I6" s="2"/>
      <c r="J6" s="3"/>
      <c r="K6" s="1"/>
      <c r="L6" s="1"/>
      <c r="M6" s="1"/>
      <c r="N6" s="1"/>
      <c r="O6" s="1"/>
      <c r="P6" s="1"/>
      <c r="Q6" s="185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185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185"/>
      <c r="R8" s="185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186"/>
      <c r="R9" s="186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65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00"/>
      <c r="P12" s="168" t="s">
        <v>46</v>
      </c>
      <c r="Q12" s="168"/>
      <c r="R12" s="16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68" t="s">
        <v>0</v>
      </c>
      <c r="D13" s="68" t="s">
        <v>11</v>
      </c>
      <c r="E13" s="68" t="s">
        <v>1</v>
      </c>
      <c r="F13" s="68" t="s">
        <v>50</v>
      </c>
      <c r="G13" s="68" t="s">
        <v>2</v>
      </c>
      <c r="H13" s="68" t="s">
        <v>12</v>
      </c>
      <c r="I13" s="69" t="s">
        <v>3</v>
      </c>
      <c r="J13" s="70" t="s">
        <v>4</v>
      </c>
      <c r="K13" s="100" t="s">
        <v>5</v>
      </c>
      <c r="L13" s="95" t="s">
        <v>6</v>
      </c>
      <c r="M13" s="95" t="s">
        <v>7</v>
      </c>
      <c r="N13" s="95" t="s">
        <v>8</v>
      </c>
      <c r="O13" s="177" t="s">
        <v>15</v>
      </c>
      <c r="P13" s="178" t="s">
        <v>45</v>
      </c>
      <c r="Q13" s="170" t="s">
        <v>4</v>
      </c>
      <c r="R13" s="177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21</v>
      </c>
      <c r="D14" s="14" t="s">
        <v>22</v>
      </c>
      <c r="E14" s="13">
        <v>945174408</v>
      </c>
      <c r="F14" s="13" t="s">
        <v>26</v>
      </c>
      <c r="G14" s="15" t="s">
        <v>30</v>
      </c>
      <c r="H14" s="16" t="s">
        <v>24</v>
      </c>
      <c r="I14" s="17">
        <v>20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Directv go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*DIRECTV GO*")),"💰")</f>
        <v>💰</v>
      </c>
      <c r="M14" s="101" t="str">
        <f>HYPERLINK("https://api.whatsapp.com/send?phone="&amp;E14&amp;"&amp;text=*🔴 Cambio de contraseña: Directv Go*"&amp;"%0A"&amp;"%0A"&amp;"💻 Correo: *"&amp;G14&amp;"*"&amp;"%0A"&amp;"🔐 Nueva Contraseña: *"&amp;H14&amp;"*","🔐")</f>
        <v>🔐</v>
      </c>
      <c r="N14" s="140" t="str">
        <f>HYPERLINK("https://api.whatsapp.com/send?phone=51"&amp;E14&amp;"&amp;text=*🔴 DIRECTV GO*"&amp;"%0A"&amp;"%0A"&amp;"*📧 Correo:* "&amp;G14&amp;"%0A"&amp;"*🔑 Contraseña:* "&amp;H14&amp;"%0A"&amp;"%0A"&amp;"*🖥 Perfil:* "&amp;C14&amp;"%0A"&amp;"%0A"&amp;"*📍 Vence:* "&amp;J14,"💻")</f>
        <v>💻</v>
      </c>
      <c r="O14" s="181" t="s">
        <v>22</v>
      </c>
      <c r="P14" s="141">
        <v>8</v>
      </c>
      <c r="Q14" s="183" t="s">
        <v>17</v>
      </c>
      <c r="R14" s="149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thickBot="1" x14ac:dyDescent="0.3">
      <c r="A15" s="1"/>
      <c r="B15" s="1"/>
      <c r="C15" s="27"/>
      <c r="D15" s="28"/>
      <c r="E15" s="27"/>
      <c r="F15" s="76"/>
      <c r="G15" s="29"/>
      <c r="H15" s="30"/>
      <c r="I15" s="77"/>
      <c r="J15" s="60"/>
      <c r="K15" s="94">
        <f ca="1">J15-K$12</f>
        <v>-45392</v>
      </c>
      <c r="L15" s="131" t="str">
        <f ca="1">HYPERLINK("https://api.whatsapp.com/send?phone="&amp;E15&amp;"&amp;text="&amp;(IF(K15&lt;=0,"🚨 Hola, *"&amp;D15&amp;".*"&amp;"%0A"&amp;"Su cuenta de Directv go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*DIRECTV GO*")),"💰")</f>
        <v>💰</v>
      </c>
      <c r="M15" s="101" t="str">
        <f>HYPERLINK("https://api.whatsapp.com/send?phone="&amp;E15&amp;"&amp;text=*🔴 Cambio de contraseña: Directv Go*"&amp;"%0A"&amp;"%0A"&amp;"💻 Correo: *"&amp;G15&amp;"*"&amp;"%0A"&amp;"🔐 Nueva Contraseña: *"&amp;H15&amp;"*","🔐")</f>
        <v>🔐</v>
      </c>
      <c r="N15" s="140" t="str">
        <f>HYPERLINK("https://api.whatsapp.com/send?phone=51"&amp;E15&amp;"&amp;text=*🔴 DIRECTV GO*"&amp;"%0A"&amp;"%0A"&amp;"*📧 Correo:* "&amp;G15&amp;"%0A"&amp;"*🔑 Contraseña:* "&amp;H15&amp;"%0A"&amp;"%0A"&amp;"*🖥 Perfil:* "&amp;C15&amp;"%0A"&amp;"%0A"&amp;"*📍 Vence:* "&amp;J15,"💻")</f>
        <v>💻</v>
      </c>
      <c r="O15" s="174" t="s">
        <v>22</v>
      </c>
      <c r="P15" s="182">
        <v>8</v>
      </c>
      <c r="Q15" s="180" t="s">
        <v>51</v>
      </c>
      <c r="R15" s="184">
        <f ca="1">Q15-TODAY()</f>
        <v>173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45"/>
      <c r="Q16" s="108"/>
      <c r="R16" s="109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thickBot="1" x14ac:dyDescent="0.3">
      <c r="A17" s="1"/>
      <c r="B17" s="1"/>
      <c r="C17" s="1"/>
      <c r="D17" s="68" t="s">
        <v>11</v>
      </c>
      <c r="E17" s="68" t="s">
        <v>1</v>
      </c>
      <c r="F17" s="68" t="s">
        <v>50</v>
      </c>
      <c r="G17" s="68" t="s">
        <v>2</v>
      </c>
      <c r="H17" s="68" t="s">
        <v>12</v>
      </c>
      <c r="I17" s="69" t="s">
        <v>3</v>
      </c>
      <c r="J17" s="70" t="s">
        <v>4</v>
      </c>
      <c r="K17" s="100" t="s">
        <v>5</v>
      </c>
      <c r="L17" s="95" t="s">
        <v>6</v>
      </c>
      <c r="M17" s="95" t="s">
        <v>7</v>
      </c>
      <c r="N17" s="95" t="s">
        <v>8</v>
      </c>
      <c r="O17" s="68" t="s">
        <v>15</v>
      </c>
      <c r="P17" s="169" t="s">
        <v>45</v>
      </c>
      <c r="Q17" s="70" t="s">
        <v>4</v>
      </c>
      <c r="R17" s="68" t="s">
        <v>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1"/>
      <c r="D18" s="32" t="s">
        <v>22</v>
      </c>
      <c r="E18" s="32">
        <v>945174408</v>
      </c>
      <c r="F18" s="32" t="s">
        <v>52</v>
      </c>
      <c r="G18" s="34" t="s">
        <v>30</v>
      </c>
      <c r="H18" s="35" t="s">
        <v>24</v>
      </c>
      <c r="I18" s="36">
        <v>45</v>
      </c>
      <c r="J18" s="50" t="s">
        <v>17</v>
      </c>
      <c r="K18" s="96">
        <f ca="1">J18-K$12</f>
        <v>-193</v>
      </c>
      <c r="L18" s="131" t="e">
        <f ca="1">HYPERLINK("https://api.whatsapp.com/send?phone="&amp;E18&amp;"&amp;text="&amp;(IF(K18&lt;=0,"🚨 Hola, *"&amp;D18&amp;".*"&amp;"%0A"&amp;"Su cuenta de Directv go - Liga max vencio, Porfavor renueve si aun desea el servicio."&amp;"%0A"&amp;"*Tiene todo el dia para realizar el pago de lo contrario al dia siguiente sera suspendida*"&amp;"%0A"&amp;"*GRACIAS*","*MENSAJE RECORDATORIO 🚨*"&amp;"%0A"&amp;"%0A"&amp;"Hola, "&amp;D18&amp;"."&amp;"%0A"&amp;"Te quedan "&amp;K18&amp;" Dias restantes para renovar su cuenta de *DIRECTV GO + LIGA MAX*")),"💰")</f>
        <v>#VALUE!</v>
      </c>
      <c r="M18" s="101" t="str">
        <f>HYPERLINK("https://api.whatsapp.com/send?phone="&amp;E18&amp;"&amp;text=*🔴 Cambio de contraseña: Directv go + Liga Max*"&amp;"%0A"&amp;"%0A"&amp;"💻 Correo: *"&amp;G18&amp;"*"&amp;"%0A"&amp;"🔐 Nueva Contraseña: *"&amp;H18&amp;"*","🔐")</f>
        <v>🔐</v>
      </c>
      <c r="N18" s="101" t="str">
        <f>HYPERLINK("https://api.whatsapp.com/send?phone=51"&amp;E18&amp;"&amp;text=*🔴 DIRECTV GO + LIGA MAX*"&amp;"%0A"&amp;"%0A"&amp;"*📧 Correo:* "&amp;G18&amp;"%0A"&amp;"*🔑 Contraseña:* "&amp;H18&amp;"%0A"&amp;"%0A"&amp;"*🖥 Perfil:* "&amp;D18&amp;"%0A"&amp;"%0A"&amp;"*📍 Vence:* "&amp;J18,"💻")</f>
        <v>💻</v>
      </c>
      <c r="O18" s="174" t="s">
        <v>22</v>
      </c>
      <c r="P18" s="175">
        <v>35</v>
      </c>
      <c r="Q18" s="176" t="s">
        <v>17</v>
      </c>
      <c r="R18" s="139">
        <f ca="1">Q18-TODAY()</f>
        <v>-193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5"/>
      <c r="D20" s="5"/>
      <c r="E20" s="5"/>
      <c r="F20" s="5"/>
      <c r="G20" s="5"/>
      <c r="H20" s="5"/>
      <c r="I20" s="6"/>
      <c r="J20" s="7"/>
      <c r="K20" s="8">
        <f ca="1">TODAY()</f>
        <v>45392</v>
      </c>
      <c r="L20" s="230" t="s">
        <v>9</v>
      </c>
      <c r="M20" s="231"/>
      <c r="N20" s="235"/>
      <c r="O20" s="100"/>
      <c r="P20" s="168" t="s">
        <v>46</v>
      </c>
      <c r="Q20" s="168"/>
      <c r="R20" s="169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68" t="s">
        <v>0</v>
      </c>
      <c r="D21" s="68" t="s">
        <v>11</v>
      </c>
      <c r="E21" s="68" t="s">
        <v>1</v>
      </c>
      <c r="F21" s="68" t="s">
        <v>50</v>
      </c>
      <c r="G21" s="68" t="s">
        <v>2</v>
      </c>
      <c r="H21" s="68" t="s">
        <v>12</v>
      </c>
      <c r="I21" s="69" t="s">
        <v>3</v>
      </c>
      <c r="J21" s="70" t="s">
        <v>4</v>
      </c>
      <c r="K21" s="100" t="s">
        <v>5</v>
      </c>
      <c r="L21" s="95" t="s">
        <v>6</v>
      </c>
      <c r="M21" s="95" t="s">
        <v>7</v>
      </c>
      <c r="N21" s="95" t="s">
        <v>8</v>
      </c>
      <c r="O21" s="177" t="s">
        <v>15</v>
      </c>
      <c r="P21" s="178" t="s">
        <v>45</v>
      </c>
      <c r="Q21" s="170" t="s">
        <v>4</v>
      </c>
      <c r="R21" s="177" t="s">
        <v>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x14ac:dyDescent="0.25">
      <c r="A22" s="1"/>
      <c r="B22" s="1"/>
      <c r="C22" s="13"/>
      <c r="D22" s="14"/>
      <c r="E22" s="13"/>
      <c r="F22" s="13"/>
      <c r="G22" s="15"/>
      <c r="H22" s="16"/>
      <c r="I22" s="17"/>
      <c r="J22" s="49"/>
      <c r="K22" s="92">
        <f ca="1">J22-K$12</f>
        <v>-45392</v>
      </c>
      <c r="L22" s="131" t="str">
        <f ca="1">HYPERLINK("https://api.whatsapp.com/send?phone="&amp;E22&amp;"&amp;text="&amp;(IF(K22&lt;=0,"🚨 Hola, *"&amp;D22&amp;".*"&amp;"%0A"&amp;"Su cuenta de Directv go vencio, Porfavor renueve si aun desea el servicio."&amp;"%0A"&amp;"*Tiene todo el dia para realizar el pago de lo contrario al dia siguiente sera suspendida*"&amp;"%0A"&amp;"*GRACIAS*","*MENSAJE RECORDATORIO 🚨*"&amp;"%0A"&amp;"%0A"&amp;"Hola, "&amp;D22&amp;"."&amp;"%0A"&amp;"Te quedan "&amp;K22&amp;" Dias restantes para renovar su cuenta de *DIRECTV GO*")),"💰")</f>
        <v>💰</v>
      </c>
      <c r="M22" s="101" t="str">
        <f>HYPERLINK("https://api.whatsapp.com/send?phone="&amp;E22&amp;"&amp;text=*🔴 Cambio de contraseña: Directv Go*"&amp;"%0A"&amp;"%0A"&amp;"💻 Correo: *"&amp;G22&amp;"*"&amp;"%0A"&amp;"🔐 Nueva Contraseña: *"&amp;H22&amp;"*","🔐")</f>
        <v>🔐</v>
      </c>
      <c r="N22" s="140" t="str">
        <f>HYPERLINK("https://api.whatsapp.com/send?phone=51"&amp;E22&amp;"&amp;text=*🔴 DIRECTV GO*"&amp;"%0A"&amp;"%0A"&amp;"*📧 Correo:* "&amp;G22&amp;"%0A"&amp;"*🔑 Contraseña:* "&amp;H22&amp;"%0A"&amp;"%0A"&amp;"*🖥 Perfil:* "&amp;C22&amp;"%0A"&amp;"%0A"&amp;"*📍 Vence:* "&amp;J22,"💻")</f>
        <v>💻</v>
      </c>
      <c r="O22" s="181"/>
      <c r="P22" s="141"/>
      <c r="Q22" s="183"/>
      <c r="R22" s="149">
        <f ca="1">Q22-TODAY()</f>
        <v>-45392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27"/>
      <c r="D23" s="28"/>
      <c r="E23" s="27"/>
      <c r="F23" s="76"/>
      <c r="G23" s="29"/>
      <c r="H23" s="30"/>
      <c r="I23" s="77"/>
      <c r="J23" s="60"/>
      <c r="K23" s="94">
        <f ca="1">J23-K$12</f>
        <v>-45392</v>
      </c>
      <c r="L23" s="131" t="str">
        <f ca="1">HYPERLINK("https://api.whatsapp.com/send?phone="&amp;E23&amp;"&amp;text="&amp;(IF(K23&lt;=0,"🚨 Hola, *"&amp;D23&amp;".*"&amp;"%0A"&amp;"Su cuenta de Directv go vencio, Porfavor renueve si aun desea el servicio."&amp;"%0A"&amp;"*Tiene todo el dia para realizar el pago de lo contrario al dia siguiente sera suspendida*"&amp;"%0A"&amp;"*GRACIAS*","*MENSAJE RECORDATORIO 🚨*"&amp;"%0A"&amp;"%0A"&amp;"Hola, "&amp;D23&amp;"."&amp;"%0A"&amp;"Te quedan "&amp;K23&amp;" Dias restantes para renovar su cuenta de *DIRECTV GO*")),"💰")</f>
        <v>💰</v>
      </c>
      <c r="M23" s="101" t="str">
        <f>HYPERLINK("https://api.whatsapp.com/send?phone="&amp;E23&amp;"&amp;text=*🔴 Cambio de contraseña: Directv Go*"&amp;"%0A"&amp;"%0A"&amp;"💻 Correo: *"&amp;G23&amp;"*"&amp;"%0A"&amp;"🔐 Nueva Contraseña: *"&amp;H23&amp;"*","🔐")</f>
        <v>🔐</v>
      </c>
      <c r="N23" s="140" t="str">
        <f>HYPERLINK("https://api.whatsapp.com/send?phone=51"&amp;E23&amp;"&amp;text=*🔴 DIRECTV GO*"&amp;"%0A"&amp;"%0A"&amp;"*📧 Correo:* "&amp;G23&amp;"%0A"&amp;"*🔑 Contraseña:* "&amp;H23&amp;"%0A"&amp;"%0A"&amp;"*🖥 Perfil:* "&amp;C23&amp;"%0A"&amp;"%0A"&amp;"*📍 Vence:* "&amp;J23,"💻")</f>
        <v>💻</v>
      </c>
      <c r="O23" s="174"/>
      <c r="P23" s="182"/>
      <c r="Q23" s="180"/>
      <c r="R23" s="184">
        <f ca="1">Q23-TODAY()</f>
        <v>-45392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30" s="111" customFormat="1" ht="16.5" thickBot="1" x14ac:dyDescent="0.3">
      <c r="B25" s="1"/>
      <c r="D25" s="68" t="s">
        <v>11</v>
      </c>
      <c r="E25" s="68" t="s">
        <v>1</v>
      </c>
      <c r="F25" s="68" t="s">
        <v>50</v>
      </c>
      <c r="G25" s="68" t="s">
        <v>2</v>
      </c>
      <c r="H25" s="68" t="s">
        <v>12</v>
      </c>
      <c r="I25" s="69" t="s">
        <v>3</v>
      </c>
      <c r="J25" s="70" t="s">
        <v>4</v>
      </c>
      <c r="K25" s="100" t="s">
        <v>5</v>
      </c>
      <c r="L25" s="95" t="s">
        <v>6</v>
      </c>
      <c r="M25" s="95" t="s">
        <v>7</v>
      </c>
      <c r="N25" s="95" t="s">
        <v>8</v>
      </c>
      <c r="O25" s="68" t="s">
        <v>15</v>
      </c>
      <c r="P25" s="169" t="s">
        <v>45</v>
      </c>
      <c r="Q25" s="70" t="s">
        <v>4</v>
      </c>
      <c r="R25" s="68" t="s">
        <v>5</v>
      </c>
    </row>
    <row r="26" spans="1:30" s="111" customFormat="1" ht="16.5" thickBot="1" x14ac:dyDescent="0.3">
      <c r="D26" s="32"/>
      <c r="E26" s="32"/>
      <c r="F26" s="32"/>
      <c r="G26" s="34"/>
      <c r="H26" s="35"/>
      <c r="I26" s="36"/>
      <c r="J26" s="50"/>
      <c r="K26" s="96">
        <f ca="1">J26-K$12</f>
        <v>-45392</v>
      </c>
      <c r="L26" s="131" t="str">
        <f ca="1">HYPERLINK("https://api.whatsapp.com/send?phone="&amp;E26&amp;"&amp;text="&amp;(IF(K26&lt;=0,"🚨 Hola, *"&amp;D26&amp;".*"&amp;"%0A"&amp;"Su cuenta de Directv go - Liga max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*DIRECTV GO + LIGA MAX*")),"💰")</f>
        <v>💰</v>
      </c>
      <c r="M26" s="101" t="str">
        <f>HYPERLINK("https://api.whatsapp.com/send?phone="&amp;E26&amp;"&amp;text=*🔴 Cambio de contraseña: Directv go + Liga Max*"&amp;"%0A"&amp;"%0A"&amp;"💻 Correo: *"&amp;G26&amp;"*"&amp;"%0A"&amp;"🔐 Nueva Contraseña: *"&amp;H26&amp;"*","🔐")</f>
        <v>🔐</v>
      </c>
      <c r="N26" s="101" t="str">
        <f>HYPERLINK("https://api.whatsapp.com/send?phone=51"&amp;E26&amp;"&amp;text=*🔴 DIRECTV GO + LIGA MAX*"&amp;"%0A"&amp;"%0A"&amp;"*📧 Correo:* "&amp;G26&amp;"%0A"&amp;"*🔑 Contraseña:* "&amp;H26&amp;"%0A"&amp;"%0A"&amp;"*🖥 Perfil:* "&amp;D26&amp;"%0A"&amp;"%0A"&amp;"*📍 Vence:* "&amp;J26,"💻")</f>
        <v>💻</v>
      </c>
      <c r="O26" s="174"/>
      <c r="P26" s="175"/>
      <c r="Q26" s="176"/>
      <c r="R26" s="139">
        <f ca="1">Q26-TODAY()</f>
        <v>-45392</v>
      </c>
    </row>
    <row r="27" spans="1:30" s="111" customFormat="1" x14ac:dyDescent="0.25">
      <c r="C27" s="42"/>
      <c r="D27" s="42"/>
      <c r="E27" s="42"/>
      <c r="F27" s="42"/>
      <c r="G27" s="44"/>
      <c r="H27" s="42"/>
      <c r="I27" s="45"/>
      <c r="J27" s="46"/>
      <c r="K27" s="47"/>
      <c r="L27" s="48"/>
      <c r="M27" s="48"/>
      <c r="N27" s="48"/>
    </row>
    <row r="28" spans="1:30" s="111" customFormat="1" x14ac:dyDescent="0.25">
      <c r="C28" s="42"/>
      <c r="D28" s="42"/>
      <c r="E28" s="42"/>
      <c r="F28" s="42"/>
      <c r="G28" s="44"/>
      <c r="H28" s="42"/>
      <c r="I28" s="45"/>
      <c r="J28" s="46"/>
      <c r="K28" s="47"/>
      <c r="L28" s="48"/>
      <c r="M28" s="48"/>
      <c r="N28" s="48"/>
    </row>
    <row r="29" spans="1:30" s="111" customFormat="1" x14ac:dyDescent="0.25">
      <c r="I29" s="113"/>
      <c r="J29" s="114"/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1">
    <mergeCell ref="L12:N12"/>
    <mergeCell ref="L20:N20"/>
    <mergeCell ref="X2:Y2"/>
    <mergeCell ref="D9:O9"/>
    <mergeCell ref="S9:T9"/>
    <mergeCell ref="X9:Y9"/>
    <mergeCell ref="D1:E1"/>
    <mergeCell ref="D2:E2"/>
    <mergeCell ref="S2:T2"/>
    <mergeCell ref="U2:U9"/>
    <mergeCell ref="L11:N11"/>
  </mergeCells>
  <phoneticPr fontId="2" type="noConversion"/>
  <conditionalFormatting sqref="K14:K15 K18">
    <cfRule type="iconSet" priority="15">
      <iconSet iconSet="3Symbols">
        <cfvo type="percent" val="0"/>
        <cfvo type="num" val="0" gte="0"/>
        <cfvo type="num" val="3"/>
      </iconSet>
    </cfRule>
  </conditionalFormatting>
  <conditionalFormatting sqref="K22:K23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K26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K27:N28">
    <cfRule type="iconSet" priority="17">
      <iconSet iconSet="3Symbols">
        <cfvo type="percent" val="0"/>
        <cfvo type="num" val="0" gte="0"/>
        <cfvo type="num" val="3"/>
      </iconSet>
    </cfRule>
  </conditionalFormatting>
  <conditionalFormatting sqref="L14:N15">
    <cfRule type="iconSet" priority="18">
      <iconSet iconSet="3Symbols">
        <cfvo type="percent" val="0"/>
        <cfvo type="num" val="0" gte="0"/>
        <cfvo type="num" val="3"/>
      </iconSet>
    </cfRule>
  </conditionalFormatting>
  <conditionalFormatting sqref="L18:N18">
    <cfRule type="iconSet" priority="14">
      <iconSet iconSet="3Symbols">
        <cfvo type="percent" val="0"/>
        <cfvo type="num" val="0" gte="0"/>
        <cfvo type="num" val="3"/>
      </iconSet>
    </cfRule>
  </conditionalFormatting>
  <conditionalFormatting sqref="L22:N23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L26:N26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4:R15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R18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R22:R23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R26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BBCE86AA-AA68-4297-8678-C573A404D454}"/>
    <hyperlink ref="G18" r:id="rId2" xr:uid="{B50EF37F-2D44-4200-94D2-0A09D18BB879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1AB5-E7D8-4243-896B-67033C12F7B5}">
  <sheetPr>
    <tabColor theme="8"/>
  </sheetPr>
  <dimension ref="A1:AD404"/>
  <sheetViews>
    <sheetView topLeftCell="B7" zoomScale="86" zoomScaleNormal="86" workbookViewId="0">
      <selection activeCell="O12" sqref="O12:R16"/>
    </sheetView>
  </sheetViews>
  <sheetFormatPr baseColWidth="10" defaultRowHeight="15.75" x14ac:dyDescent="0.25"/>
  <cols>
    <col min="1" max="2" width="11.42578125" style="106"/>
    <col min="3" max="3" width="10.28515625" style="106" customWidth="1"/>
    <col min="4" max="4" width="12.140625" style="106" customWidth="1"/>
    <col min="5" max="5" width="14.42578125" style="106" customWidth="1"/>
    <col min="6" max="6" width="13.140625" style="106" customWidth="1"/>
    <col min="7" max="7" width="29.85546875" style="106" customWidth="1"/>
    <col min="8" max="8" width="11.85546875" style="106" customWidth="1"/>
    <col min="9" max="9" width="8.5703125" style="115" customWidth="1"/>
    <col min="10" max="10" width="11.8554687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" style="106" customWidth="1"/>
    <col min="16" max="16" width="9" style="106" customWidth="1"/>
    <col min="17" max="17" width="10.7109375" style="106" customWidth="1"/>
    <col min="18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6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06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06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12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00"/>
      <c r="P12" s="168" t="s">
        <v>47</v>
      </c>
      <c r="Q12" s="168"/>
      <c r="R12" s="16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68" t="s">
        <v>0</v>
      </c>
      <c r="D13" s="68" t="s">
        <v>11</v>
      </c>
      <c r="E13" s="68" t="s">
        <v>1</v>
      </c>
      <c r="F13" s="68" t="s">
        <v>50</v>
      </c>
      <c r="G13" s="68" t="s">
        <v>2</v>
      </c>
      <c r="H13" s="68" t="s">
        <v>12</v>
      </c>
      <c r="I13" s="69" t="s">
        <v>3</v>
      </c>
      <c r="J13" s="70" t="s">
        <v>4</v>
      </c>
      <c r="K13" s="100" t="s">
        <v>5</v>
      </c>
      <c r="L13" s="95" t="s">
        <v>6</v>
      </c>
      <c r="M13" s="95" t="s">
        <v>7</v>
      </c>
      <c r="N13" s="95" t="s">
        <v>8</v>
      </c>
      <c r="O13" s="68" t="s">
        <v>15</v>
      </c>
      <c r="P13" s="169" t="s">
        <v>45</v>
      </c>
      <c r="Q13" s="70" t="s">
        <v>4</v>
      </c>
      <c r="R13" s="68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21</v>
      </c>
      <c r="D14" s="14" t="s">
        <v>22</v>
      </c>
      <c r="E14" s="13">
        <v>945174408</v>
      </c>
      <c r="F14" s="13" t="s">
        <v>26</v>
      </c>
      <c r="G14" s="15" t="s">
        <v>31</v>
      </c>
      <c r="H14" s="16" t="s">
        <v>24</v>
      </c>
      <c r="I14" s="17">
        <v>6</v>
      </c>
      <c r="J14" s="49" t="s">
        <v>44</v>
      </c>
      <c r="K14" s="92">
        <f ca="1">J14-K$12</f>
        <v>-224</v>
      </c>
      <c r="L14" s="131" t="str">
        <f ca="1">HYPERLINK("https://api.whatsapp.com/send?phone="&amp;E14&amp;"&amp;text="&amp;(IF(K14&lt;=0,"🚨 Hola, *"&amp;D14&amp;".*"&amp;"%0A"&amp;"Su cuenta de Paramount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*Paramount +*")),"💰")</f>
        <v>💰</v>
      </c>
      <c r="M14" s="101" t="str">
        <f>HYPERLINK("https://api.whatsapp.com/send?phone="&amp;E14&amp;"&amp;text=*🔴 Cambio de contraseña: Paramount +*"&amp;"%0A"&amp;"%0A"&amp;"💻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PARAMOUNT +*"&amp;"%0A"&amp;"%0A"&amp;"*📧 Correo:* "&amp;G14&amp;"%0A"&amp;"*🔑 Contraseña:* "&amp;H14&amp;"%0A"&amp;"%0A"&amp;"*🖥 Perfil:* "&amp;D14&amp;"%0A"&amp;"%0A"&amp;"*📍 Vence:* "&amp;J14,"💻")</f>
        <v>💻</v>
      </c>
      <c r="O14" s="171" t="s">
        <v>22</v>
      </c>
      <c r="P14" s="172">
        <v>8</v>
      </c>
      <c r="Q14" s="173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21"/>
      <c r="G15" s="22"/>
      <c r="H15" s="23"/>
      <c r="I15" s="24"/>
      <c r="J15" s="51"/>
      <c r="K15" s="93">
        <f ca="1">J15-K$12</f>
        <v>-45392</v>
      </c>
      <c r="L15" s="131" t="str">
        <f t="shared" ref="L15:L19" ca="1" si="0">HYPERLINK("https://api.whatsapp.com/send?phone="&amp;E15&amp;"&amp;text="&amp;(IF(K15&lt;=0,"🚨 Hola, *"&amp;D15&amp;".*"&amp;"%0A"&amp;"Su cuenta de Paramount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*Paramount +*")),"💰")</f>
        <v>💰</v>
      </c>
      <c r="M15" s="101" t="str">
        <f t="shared" ref="M15:M19" si="1">HYPERLINK("https://api.whatsapp.com/send?phone="&amp;E15&amp;"&amp;text=*🔴 Cambio de contraseña: Paramount +*"&amp;"%0A"&amp;"%0A"&amp;"💻 Correo: *"&amp;G15&amp;"*"&amp;"%0A"&amp;"🔐 Nueva Contraseña: *"&amp;H15&amp;"*","🔐")</f>
        <v>🔐</v>
      </c>
      <c r="N15" s="101" t="str">
        <f t="shared" ref="N15:N19" si="2">HYPERLINK("https://api.whatsapp.com/send?phone=51"&amp;E15&amp;"&amp;text=*🔴 PARAMOUNT +*"&amp;"%0A"&amp;"%0A"&amp;"*📧 Correo:* "&amp;G15&amp;"%0A"&amp;"*🔑 Contraseña:* "&amp;H15&amp;"%0A"&amp;"%0A"&amp;"*🖥 Perfil:* "&amp;D15&amp;"%0A"&amp;"%0A"&amp;"*📍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21"/>
      <c r="G16" s="22"/>
      <c r="H16" s="23"/>
      <c r="I16" s="26"/>
      <c r="J16" s="51"/>
      <c r="K16" s="93">
        <f t="shared" ref="K16:K19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21"/>
      <c r="G17" s="22"/>
      <c r="H17" s="23"/>
      <c r="I17" s="26"/>
      <c r="J17" s="51"/>
      <c r="K17" s="93">
        <f t="shared" ca="1" si="3"/>
        <v>-45392</v>
      </c>
      <c r="L17" s="131" t="str">
        <f t="shared" ca="1" si="0"/>
        <v>💰</v>
      </c>
      <c r="M17" s="101" t="str">
        <f t="shared" si="1"/>
        <v>🔐</v>
      </c>
      <c r="N17" s="101" t="str">
        <f t="shared" si="2"/>
        <v>💻</v>
      </c>
      <c r="O17" s="22"/>
      <c r="P17" s="24"/>
      <c r="Q17" s="52"/>
      <c r="R17" s="138">
        <f t="shared" ref="R17:R19" ca="1" si="4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9"/>
      <c r="D18" s="20"/>
      <c r="E18" s="19"/>
      <c r="F18" s="21"/>
      <c r="G18" s="22"/>
      <c r="H18" s="23"/>
      <c r="I18" s="26"/>
      <c r="J18" s="51"/>
      <c r="K18" s="93">
        <f t="shared" ca="1" si="3"/>
        <v>-45392</v>
      </c>
      <c r="L18" s="131" t="str">
        <f t="shared" ca="1" si="0"/>
        <v>💰</v>
      </c>
      <c r="M18" s="101" t="str">
        <f t="shared" si="1"/>
        <v>🔐</v>
      </c>
      <c r="N18" s="101" t="str">
        <f t="shared" si="2"/>
        <v>💻</v>
      </c>
      <c r="O18" s="22"/>
      <c r="P18" s="24"/>
      <c r="Q18" s="52"/>
      <c r="R18" s="138">
        <f t="shared" ca="1" si="4"/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27"/>
      <c r="D19" s="28"/>
      <c r="E19" s="27"/>
      <c r="F19" s="76"/>
      <c r="G19" s="29"/>
      <c r="H19" s="30"/>
      <c r="I19" s="31"/>
      <c r="J19" s="60"/>
      <c r="K19" s="94">
        <f t="shared" ca="1" si="3"/>
        <v>-45392</v>
      </c>
      <c r="L19" s="131" t="str">
        <f t="shared" ca="1" si="0"/>
        <v>💰</v>
      </c>
      <c r="M19" s="101" t="str">
        <f t="shared" si="1"/>
        <v>🔐</v>
      </c>
      <c r="N19" s="101" t="str">
        <f t="shared" si="2"/>
        <v>💻</v>
      </c>
      <c r="O19" s="29"/>
      <c r="P19" s="77"/>
      <c r="Q19" s="53"/>
      <c r="R19" s="139">
        <f t="shared" ca="1" si="4"/>
        <v>-45392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1"/>
      <c r="D20" s="42"/>
      <c r="E20" s="42"/>
      <c r="F20" s="42"/>
      <c r="G20" s="42"/>
      <c r="H20" s="42"/>
      <c r="I20" s="42"/>
      <c r="J20" s="47"/>
      <c r="K20" s="47"/>
      <c r="L20" s="48"/>
      <c r="M20" s="48"/>
      <c r="N20" s="48"/>
      <c r="O20" s="110"/>
      <c r="P20" s="145"/>
      <c r="Q20" s="146"/>
      <c r="R20" s="3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1"/>
      <c r="D21" s="68" t="s">
        <v>11</v>
      </c>
      <c r="E21" s="68" t="s">
        <v>1</v>
      </c>
      <c r="F21" s="68" t="s">
        <v>15</v>
      </c>
      <c r="G21" s="68" t="s">
        <v>2</v>
      </c>
      <c r="H21" s="68" t="s">
        <v>12</v>
      </c>
      <c r="I21" s="69" t="s">
        <v>3</v>
      </c>
      <c r="J21" s="75" t="s">
        <v>4</v>
      </c>
      <c r="K21" s="100" t="s">
        <v>5</v>
      </c>
      <c r="L21" s="95" t="s">
        <v>6</v>
      </c>
      <c r="M21" s="95" t="s">
        <v>7</v>
      </c>
      <c r="N21" s="95" t="s">
        <v>8</v>
      </c>
      <c r="O21" s="68" t="s">
        <v>15</v>
      </c>
      <c r="P21" s="169" t="s">
        <v>45</v>
      </c>
      <c r="Q21" s="70" t="s">
        <v>4</v>
      </c>
      <c r="R21" s="68" t="s">
        <v>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1"/>
      <c r="D22" s="32" t="s">
        <v>22</v>
      </c>
      <c r="E22" s="32">
        <v>945174408</v>
      </c>
      <c r="F22" s="32" t="s">
        <v>26</v>
      </c>
      <c r="G22" s="34" t="s">
        <v>31</v>
      </c>
      <c r="H22" s="35" t="s">
        <v>24</v>
      </c>
      <c r="I22" s="36">
        <v>6</v>
      </c>
      <c r="J22" s="50" t="s">
        <v>17</v>
      </c>
      <c r="K22" s="96">
        <f ca="1">J22-K$12</f>
        <v>-193</v>
      </c>
      <c r="L22" s="131" t="str">
        <f ca="1">HYPERLINK("https://api.whatsapp.com/send?phone="&amp;E22&amp;"&amp;text="&amp;(IF(K22&lt;=0,"🚨 Hola, *"&amp;D22&amp;".*"&amp;"%0A"&amp;"Su cuenta de Paramount vencio, Porfavor renueve si aun desea el servicio."&amp;"%0A"&amp;"*Tiene todo el dia para realizar el pago de lo contrario al dia siguiente sera suspendida*"&amp;"%0A"&amp;"*GRACIAS*","*MENSAJE RECORDATORIO 🚨*"&amp;"%0A"&amp;"%0A"&amp;"Hola, "&amp;D22&amp;"."&amp;"%0A"&amp;"Te quedan "&amp;K22&amp;" Dias restantes para renovar su cuenta de *PARAMOUNT*")),"💰")</f>
        <v>💰</v>
      </c>
      <c r="M22" s="101" t="str">
        <f>HYPERLINK("https://api.whatsapp.com/send?phone="&amp;E22&amp;"&amp;text=*🔴 Cambio de contraseña: Paramount +*"&amp;"%0A"&amp;"%0A"&amp;"💻 Correo: *"&amp;G22&amp;"*"&amp;"%0A"&amp;"🔐 Nueva Contraseña: *"&amp;H22&amp;"*","🔐")</f>
        <v>🔐</v>
      </c>
      <c r="N22" s="101" t="str">
        <f>HYPERLINK("https://api.whatsapp.com/send?phone=51"&amp;E22&amp;"&amp;text=*🔴 PARAMOUNT COMPLETO*"&amp;"%0A"&amp;"%0A"&amp;"*📧 Correo:* "&amp;G22&amp;"%0A"&amp;"*🔑 Contraseña:* "&amp;H22&amp;"%0A"&amp;"%0A"&amp;"*🖥 Perfil:* "&amp;D22&amp;"%0A"&amp;"%0A"&amp;"*📍 Vence:* "&amp;J22,"💻")</f>
        <v>💻</v>
      </c>
      <c r="O22" s="174" t="s">
        <v>22</v>
      </c>
      <c r="P22" s="175">
        <v>8</v>
      </c>
      <c r="Q22" s="176" t="s">
        <v>17</v>
      </c>
      <c r="R22" s="139">
        <f ca="1">Q22-TODAY()</f>
        <v>-193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42"/>
      <c r="D23" s="42"/>
      <c r="E23" s="42"/>
      <c r="F23" s="42"/>
      <c r="G23" s="44"/>
      <c r="H23" s="42"/>
      <c r="I23" s="45"/>
      <c r="J23" s="46"/>
      <c r="K23" s="47"/>
      <c r="L23" s="48"/>
      <c r="M23" s="48"/>
      <c r="N23" s="48"/>
      <c r="O23" s="1"/>
      <c r="P23" s="145"/>
      <c r="Q23" s="146"/>
      <c r="R23" s="3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5"/>
      <c r="D24" s="5"/>
      <c r="E24" s="5"/>
      <c r="F24" s="5"/>
      <c r="G24" s="5"/>
      <c r="H24" s="5"/>
      <c r="I24" s="6"/>
      <c r="J24" s="7"/>
      <c r="K24" s="8">
        <f ca="1">TODAY()</f>
        <v>45392</v>
      </c>
      <c r="L24" s="230" t="s">
        <v>9</v>
      </c>
      <c r="M24" s="231"/>
      <c r="N24" s="235"/>
      <c r="O24" s="100"/>
      <c r="P24" s="168" t="s">
        <v>47</v>
      </c>
      <c r="Q24" s="168"/>
      <c r="R24" s="169"/>
    </row>
    <row r="25" spans="1:30" s="111" customFormat="1" ht="16.5" thickBot="1" x14ac:dyDescent="0.3">
      <c r="C25" s="68" t="s">
        <v>0</v>
      </c>
      <c r="D25" s="68" t="s">
        <v>11</v>
      </c>
      <c r="E25" s="68" t="s">
        <v>1</v>
      </c>
      <c r="F25" s="68" t="s">
        <v>50</v>
      </c>
      <c r="G25" s="68" t="s">
        <v>2</v>
      </c>
      <c r="H25" s="68" t="s">
        <v>12</v>
      </c>
      <c r="I25" s="69" t="s">
        <v>3</v>
      </c>
      <c r="J25" s="70" t="s">
        <v>4</v>
      </c>
      <c r="K25" s="100" t="s">
        <v>5</v>
      </c>
      <c r="L25" s="95" t="s">
        <v>6</v>
      </c>
      <c r="M25" s="95" t="s">
        <v>7</v>
      </c>
      <c r="N25" s="95" t="s">
        <v>8</v>
      </c>
      <c r="O25" s="68" t="s">
        <v>15</v>
      </c>
      <c r="P25" s="169" t="s">
        <v>45</v>
      </c>
      <c r="Q25" s="70" t="s">
        <v>4</v>
      </c>
      <c r="R25" s="68" t="s">
        <v>5</v>
      </c>
    </row>
    <row r="26" spans="1:30" s="111" customFormat="1" x14ac:dyDescent="0.25">
      <c r="C26" s="13"/>
      <c r="D26" s="14"/>
      <c r="E26" s="13"/>
      <c r="F26" s="13"/>
      <c r="G26" s="15"/>
      <c r="H26" s="16"/>
      <c r="I26" s="17"/>
      <c r="J26" s="49"/>
      <c r="K26" s="92">
        <f ca="1">J26-K$12</f>
        <v>-45392</v>
      </c>
      <c r="L26" s="131" t="str">
        <f ca="1">HYPERLINK("https://api.whatsapp.com/send?phone="&amp;E26&amp;"&amp;text="&amp;(IF(K26&lt;=0,"🚨 Hola, *"&amp;D26&amp;".*"&amp;"%0A"&amp;"Su cuenta de Paramount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*Paramount +*")),"💰")</f>
        <v>💰</v>
      </c>
      <c r="M26" s="101" t="str">
        <f>HYPERLINK("https://api.whatsapp.com/send?phone="&amp;E26&amp;"&amp;text=*🔴 Cambio de contraseña: Paramount +*"&amp;"%0A"&amp;"%0A"&amp;"💻 Correo: *"&amp;G26&amp;"*"&amp;"%0A"&amp;"🔐 Nueva Contraseña: *"&amp;H26&amp;"*","🔐")</f>
        <v>🔐</v>
      </c>
      <c r="N26" s="101" t="str">
        <f>HYPERLINK("https://api.whatsapp.com/send?phone=51"&amp;E26&amp;"&amp;text=*🔴 PARAMOUNT +*"&amp;"%0A"&amp;"%0A"&amp;"*📧 Correo:* "&amp;G26&amp;"%0A"&amp;"*🔑 Contraseña:* "&amp;H26&amp;"%0A"&amp;"%0A"&amp;"*🖥 Perfil:* "&amp;D26&amp;"%0A"&amp;"%0A"&amp;"*📍 Vence:* "&amp;J26,"💻")</f>
        <v>💻</v>
      </c>
      <c r="O26" s="171"/>
      <c r="P26" s="172"/>
      <c r="Q26" s="173"/>
      <c r="R26" s="138">
        <f ca="1">Q26-TODAY()</f>
        <v>-45392</v>
      </c>
    </row>
    <row r="27" spans="1:30" s="111" customFormat="1" x14ac:dyDescent="0.25">
      <c r="C27" s="19"/>
      <c r="D27" s="20"/>
      <c r="E27" s="19"/>
      <c r="F27" s="21"/>
      <c r="G27" s="22"/>
      <c r="H27" s="23"/>
      <c r="I27" s="24"/>
      <c r="J27" s="51"/>
      <c r="K27" s="93">
        <f ca="1">J27-K$12</f>
        <v>-45392</v>
      </c>
      <c r="L27" s="131" t="str">
        <f t="shared" ref="L27:L31" ca="1" si="5">HYPERLINK("https://api.whatsapp.com/send?phone="&amp;E27&amp;"&amp;text="&amp;(IF(K27&lt;=0,"🚨 Hola, *"&amp;D27&amp;".*"&amp;"%0A"&amp;"Su cuenta de Paramount vencio, Porfavor renueve si aun desea el servicio."&amp;"%0A"&amp;"*Tiene todo el dia para realizar el pago de lo contrario al dia siguiente sera suspendida*"&amp;"%0A"&amp;"*GRACIAS*","*MENSAJE RECORDATORIO 🚨*"&amp;"%0A"&amp;"%0A"&amp;"Hola, "&amp;D27&amp;"."&amp;"%0A"&amp;"Te quedan "&amp;K27&amp;" Dias restantes para renovar su cuenta de *Paramount +*")),"💰")</f>
        <v>💰</v>
      </c>
      <c r="M27" s="101" t="str">
        <f t="shared" ref="M27:M31" si="6">HYPERLINK("https://api.whatsapp.com/send?phone="&amp;E27&amp;"&amp;text=*🔴 Cambio de contraseña: Paramount +*"&amp;"%0A"&amp;"%0A"&amp;"💻 Correo: *"&amp;G27&amp;"*"&amp;"%0A"&amp;"🔐 Nueva Contraseña: *"&amp;H27&amp;"*","🔐")</f>
        <v>🔐</v>
      </c>
      <c r="N27" s="101" t="str">
        <f t="shared" ref="N27:N31" si="7">HYPERLINK("https://api.whatsapp.com/send?phone=51"&amp;E27&amp;"&amp;text=*🔴 PARAMOUNT +*"&amp;"%0A"&amp;"%0A"&amp;"*📧 Correo:* "&amp;G27&amp;"%0A"&amp;"*🔑 Contraseña:* "&amp;H27&amp;"%0A"&amp;"%0A"&amp;"*🖥 Perfil:* "&amp;D27&amp;"%0A"&amp;"%0A"&amp;"*📍 Vence:* "&amp;J27,"💻")</f>
        <v>💻</v>
      </c>
      <c r="O27" s="22"/>
      <c r="P27" s="24"/>
      <c r="Q27" s="59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21"/>
      <c r="G28" s="22"/>
      <c r="H28" s="23"/>
      <c r="I28" s="26"/>
      <c r="J28" s="51"/>
      <c r="K28" s="93">
        <f t="shared" ref="K28:K31" ca="1" si="8">J28-K$12</f>
        <v>-45392</v>
      </c>
      <c r="L28" s="131" t="str">
        <f t="shared" ca="1" si="5"/>
        <v>💰</v>
      </c>
      <c r="M28" s="101" t="str">
        <f t="shared" si="6"/>
        <v>🔐</v>
      </c>
      <c r="N28" s="101" t="str">
        <f t="shared" si="7"/>
        <v>💻</v>
      </c>
      <c r="O28" s="22"/>
      <c r="P28" s="24"/>
      <c r="Q28" s="52"/>
      <c r="R28" s="138">
        <f ca="1">Q28-TODAY()</f>
        <v>-45392</v>
      </c>
    </row>
    <row r="29" spans="1:30" s="111" customFormat="1" x14ac:dyDescent="0.25">
      <c r="C29" s="19"/>
      <c r="D29" s="20"/>
      <c r="E29" s="19"/>
      <c r="F29" s="21"/>
      <c r="G29" s="22"/>
      <c r="H29" s="23"/>
      <c r="I29" s="26"/>
      <c r="J29" s="51"/>
      <c r="K29" s="93">
        <f t="shared" ca="1" si="8"/>
        <v>-45392</v>
      </c>
      <c r="L29" s="131" t="str">
        <f t="shared" ca="1" si="5"/>
        <v>💰</v>
      </c>
      <c r="M29" s="101" t="str">
        <f t="shared" si="6"/>
        <v>🔐</v>
      </c>
      <c r="N29" s="101" t="str">
        <f t="shared" si="7"/>
        <v>💻</v>
      </c>
      <c r="O29" s="22"/>
      <c r="P29" s="24"/>
      <c r="Q29" s="52"/>
      <c r="R29" s="138">
        <f t="shared" ref="R29:R31" ca="1" si="9">Q29-TODAY()</f>
        <v>-45392</v>
      </c>
    </row>
    <row r="30" spans="1:30" s="111" customFormat="1" x14ac:dyDescent="0.25">
      <c r="C30" s="19"/>
      <c r="D30" s="20"/>
      <c r="E30" s="19"/>
      <c r="F30" s="21"/>
      <c r="G30" s="22"/>
      <c r="H30" s="23"/>
      <c r="I30" s="26"/>
      <c r="J30" s="51"/>
      <c r="K30" s="93">
        <f t="shared" ca="1" si="8"/>
        <v>-45392</v>
      </c>
      <c r="L30" s="131" t="str">
        <f t="shared" ca="1" si="5"/>
        <v>💰</v>
      </c>
      <c r="M30" s="101" t="str">
        <f t="shared" si="6"/>
        <v>🔐</v>
      </c>
      <c r="N30" s="101" t="str">
        <f t="shared" si="7"/>
        <v>💻</v>
      </c>
      <c r="O30" s="22"/>
      <c r="P30" s="24"/>
      <c r="Q30" s="52"/>
      <c r="R30" s="138">
        <f t="shared" ca="1" si="9"/>
        <v>-45392</v>
      </c>
    </row>
    <row r="31" spans="1:30" s="111" customFormat="1" ht="16.5" thickBot="1" x14ac:dyDescent="0.3">
      <c r="C31" s="27"/>
      <c r="D31" s="28"/>
      <c r="E31" s="27"/>
      <c r="F31" s="76"/>
      <c r="G31" s="29"/>
      <c r="H31" s="30"/>
      <c r="I31" s="31"/>
      <c r="J31" s="60"/>
      <c r="K31" s="94">
        <f t="shared" ca="1" si="8"/>
        <v>-45392</v>
      </c>
      <c r="L31" s="131" t="str">
        <f t="shared" ca="1" si="5"/>
        <v>💰</v>
      </c>
      <c r="M31" s="101" t="str">
        <f t="shared" si="6"/>
        <v>🔐</v>
      </c>
      <c r="N31" s="101" t="str">
        <f t="shared" si="7"/>
        <v>💻</v>
      </c>
      <c r="O31" s="29"/>
      <c r="P31" s="77"/>
      <c r="Q31" s="53"/>
      <c r="R31" s="139">
        <f t="shared" ca="1" si="9"/>
        <v>-45392</v>
      </c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D1:E1"/>
    <mergeCell ref="D2:E2"/>
    <mergeCell ref="Q2:Q9"/>
    <mergeCell ref="S2:T2"/>
    <mergeCell ref="U2:U9"/>
    <mergeCell ref="L24:N24"/>
    <mergeCell ref="X2:Y2"/>
    <mergeCell ref="D9:O9"/>
    <mergeCell ref="S9:T9"/>
    <mergeCell ref="X9:Y9"/>
    <mergeCell ref="L11:N11"/>
    <mergeCell ref="L12:N12"/>
  </mergeCells>
  <conditionalFormatting sqref="K14:K20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22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K23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6:K31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L22 N22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L23:N23 L14:N20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L26:N31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M22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R14:R19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2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6:R31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0AF2894D-56D1-46C4-BD27-BE59BFE1BEA6}"/>
    <hyperlink ref="G22" r:id="rId2" xr:uid="{09A576F7-0091-4F60-89A5-1D237170A28E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6201-336B-4821-B3A6-AB1FC43F7033}">
  <sheetPr>
    <tabColor rgb="FF00B050"/>
  </sheetPr>
  <dimension ref="A1:AD404"/>
  <sheetViews>
    <sheetView topLeftCell="B2" zoomScale="90" zoomScaleNormal="90" workbookViewId="0">
      <selection activeCell="N5" sqref="N5"/>
    </sheetView>
  </sheetViews>
  <sheetFormatPr baseColWidth="10" defaultRowHeight="15.75" x14ac:dyDescent="0.25"/>
  <cols>
    <col min="1" max="3" width="11.42578125" style="106"/>
    <col min="4" max="4" width="11.7109375" style="106" customWidth="1"/>
    <col min="5" max="5" width="13.7109375" style="106" customWidth="1"/>
    <col min="6" max="6" width="14.85546875" style="106" customWidth="1"/>
    <col min="7" max="7" width="29.85546875" style="106" customWidth="1"/>
    <col min="8" max="8" width="11.85546875" style="106" customWidth="1"/>
    <col min="9" max="9" width="11.28515625" style="115" customWidth="1"/>
    <col min="10" max="10" width="13.42578125" style="116" customWidth="1"/>
    <col min="11" max="11" width="11.5703125" style="106" customWidth="1"/>
    <col min="12" max="12" width="7.7109375" style="106" customWidth="1"/>
    <col min="13" max="13" width="6.7109375" style="106" customWidth="1"/>
    <col min="14" max="14" width="11.28515625" style="106" customWidth="1"/>
    <col min="15" max="15" width="14" style="106" customWidth="1"/>
    <col min="16" max="16" width="9.85546875" style="106" customWidth="1"/>
    <col min="17" max="17" width="11.42578125" style="106"/>
    <col min="18" max="18" width="10.285156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6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18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26"/>
      <c r="P12" s="187" t="s">
        <v>46</v>
      </c>
      <c r="Q12" s="187"/>
      <c r="R12" s="188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5"/>
      <c r="D13" s="123" t="s">
        <v>11</v>
      </c>
      <c r="E13" s="123" t="s">
        <v>1</v>
      </c>
      <c r="F13" s="123" t="s">
        <v>50</v>
      </c>
      <c r="G13" s="123" t="s">
        <v>2</v>
      </c>
      <c r="H13" s="123" t="s">
        <v>12</v>
      </c>
      <c r="I13" s="124" t="s">
        <v>3</v>
      </c>
      <c r="J13" s="125" t="s">
        <v>4</v>
      </c>
      <c r="K13" s="126" t="s">
        <v>5</v>
      </c>
      <c r="L13" s="95" t="s">
        <v>6</v>
      </c>
      <c r="M13" s="95" t="s">
        <v>7</v>
      </c>
      <c r="N13" s="95" t="s">
        <v>8</v>
      </c>
      <c r="O13" s="123" t="s">
        <v>15</v>
      </c>
      <c r="P13" s="188" t="s">
        <v>45</v>
      </c>
      <c r="Q13" s="125" t="s">
        <v>4</v>
      </c>
      <c r="R13" s="123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thickBot="1" x14ac:dyDescent="0.3">
      <c r="A14" s="1"/>
      <c r="B14" s="1"/>
      <c r="C14" s="5"/>
      <c r="D14" s="32" t="s">
        <v>22</v>
      </c>
      <c r="E14" s="32">
        <v>945174408</v>
      </c>
      <c r="F14" s="32" t="s">
        <v>26</v>
      </c>
      <c r="G14" s="34" t="s">
        <v>32</v>
      </c>
      <c r="H14" s="35" t="s">
        <v>24</v>
      </c>
      <c r="I14" s="36">
        <v>18</v>
      </c>
      <c r="J14" s="50" t="s">
        <v>44</v>
      </c>
      <c r="K14" s="96">
        <f ca="1">J14-K$12</f>
        <v>-224</v>
      </c>
      <c r="L14" s="131" t="str">
        <f ca="1">HYPERLINK("https://api.whatsapp.com/send?phone="&amp;E14&amp;"&amp;text="&amp;(IF(K14&lt;=0,"🚨 Hola, *"&amp;D14&amp;".*"&amp;"%0A"&amp;"Su cuenta de Sptotify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*SPOTIFY PREMIUM*")),"💰")</f>
        <v>💰</v>
      </c>
      <c r="M14" s="101" t="str">
        <f>HYPERLINK("https://api.whatsapp.com/send?phone="&amp;E14&amp;"&amp;text=*🔴 Cambio de contraseña: Spotify*"&amp;"%0A"&amp;"%0A"&amp;"💻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SPOTIFY PREMIUM*"&amp;"%0A"&amp;"%0A"&amp;"*📧 Correo:* "&amp;G14&amp;"%0A"&amp;"*🔑 Contraseña:* "&amp;H14&amp;"%0A"&amp;"%0A"&amp;"*🖥 Perfil:* "&amp;D14&amp;"%0A"&amp;"%0A"&amp;"*📍 Vence:* "&amp;J14,"💻")</f>
        <v>💻</v>
      </c>
      <c r="O14" s="174" t="s">
        <v>22</v>
      </c>
      <c r="P14" s="175">
        <v>8</v>
      </c>
      <c r="Q14" s="176" t="s">
        <v>17</v>
      </c>
      <c r="R14" s="139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45"/>
      <c r="Q15" s="108"/>
      <c r="R15" s="3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thickBot="1" x14ac:dyDescent="0.3">
      <c r="A16" s="1"/>
      <c r="B16" s="1"/>
      <c r="C16" s="1"/>
      <c r="D16" s="123" t="s">
        <v>11</v>
      </c>
      <c r="E16" s="123" t="s">
        <v>1</v>
      </c>
      <c r="F16" s="123" t="s">
        <v>50</v>
      </c>
      <c r="G16" s="123" t="s">
        <v>2</v>
      </c>
      <c r="H16" s="123" t="s">
        <v>12</v>
      </c>
      <c r="I16" s="124" t="s">
        <v>3</v>
      </c>
      <c r="J16" s="125" t="s">
        <v>4</v>
      </c>
      <c r="K16" s="126" t="s">
        <v>5</v>
      </c>
      <c r="L16" s="95" t="s">
        <v>6</v>
      </c>
      <c r="M16" s="95" t="s">
        <v>7</v>
      </c>
      <c r="N16" s="95" t="s">
        <v>8</v>
      </c>
      <c r="O16" s="123" t="s">
        <v>15</v>
      </c>
      <c r="P16" s="188" t="s">
        <v>45</v>
      </c>
      <c r="Q16" s="125" t="s">
        <v>4</v>
      </c>
      <c r="R16" s="123" t="s">
        <v>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thickBot="1" x14ac:dyDescent="0.3">
      <c r="A17" s="1"/>
      <c r="B17" s="1"/>
      <c r="C17" s="1"/>
      <c r="D17" s="32"/>
      <c r="E17" s="32"/>
      <c r="F17" s="32"/>
      <c r="G17" s="34"/>
      <c r="H17" s="35"/>
      <c r="I17" s="36"/>
      <c r="J17" s="50"/>
      <c r="K17" s="96">
        <f ca="1">J17-K$12</f>
        <v>-45392</v>
      </c>
      <c r="L17" s="131" t="str">
        <f ca="1">HYPERLINK("https://api.whatsapp.com/send?phone="&amp;E17&amp;"&amp;text="&amp;(IF(K17&lt;=0,"🚨 Hola, *"&amp;D17&amp;".*"&amp;"%0A"&amp;"Su cuenta de Sptotify vencio, Porfavor renueve si aun desea el servicio."&amp;"%0A"&amp;"*Tiene todo el dia para realizar el pago de lo contrario al dia siguiente sera suspendida*"&amp;"%0A"&amp;"*GRACIAS*","*MENSAJE RECORDATORIO 🚨*"&amp;"%0A"&amp;"%0A"&amp;"Hola, "&amp;D17&amp;"."&amp;"%0A"&amp;"Te quedan "&amp;K17&amp;" Dias restantes para renovar su cuenta de *SPOTIFY PREMIUM*")),"💰")</f>
        <v>💰</v>
      </c>
      <c r="M17" s="101" t="str">
        <f>HYPERLINK("https://api.whatsapp.com/send?phone="&amp;E17&amp;"&amp;text=*🔴 Cambio de contraseña: Spotify*"&amp;"%0A"&amp;"%0A"&amp;"💻 Correo: *"&amp;G17&amp;"*"&amp;"%0A"&amp;"🔐 Nueva Contraseña: *"&amp;H17&amp;"*","🔐")</f>
        <v>🔐</v>
      </c>
      <c r="N17" s="101" t="str">
        <f>HYPERLINK("https://api.whatsapp.com/send?phone=51"&amp;E17&amp;"&amp;text=*🔴 SPOTIFY PREMIUM*"&amp;"%0A"&amp;"%0A"&amp;"*📧 Correo:* "&amp;G17&amp;"%0A"&amp;"*🔑 Contraseña:* "&amp;H17&amp;"%0A"&amp;"%0A"&amp;"*🖥 Perfil:* "&amp;D17&amp;"%0A"&amp;"%0A"&amp;"*📍 Vence:* "&amp;J17,"💻")</f>
        <v>💻</v>
      </c>
      <c r="O17" s="174"/>
      <c r="P17" s="175"/>
      <c r="Q17" s="176"/>
      <c r="R17" s="139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45"/>
      <c r="Q18" s="108"/>
      <c r="R18" s="3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45"/>
      <c r="Q20" s="146"/>
      <c r="R20" s="3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45"/>
      <c r="Q21" s="146"/>
      <c r="R21" s="3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5"/>
      <c r="Q23" s="146"/>
      <c r="R23" s="3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30" s="111" customFormat="1" x14ac:dyDescent="0.25">
      <c r="C25" s="42"/>
      <c r="D25" s="42"/>
      <c r="E25" s="42"/>
      <c r="F25" s="43"/>
      <c r="G25" s="44"/>
      <c r="H25" s="42"/>
      <c r="I25" s="112"/>
      <c r="J25" s="46"/>
      <c r="K25" s="47"/>
      <c r="L25" s="48"/>
      <c r="M25" s="48"/>
      <c r="N25" s="48"/>
    </row>
    <row r="26" spans="1:30" s="111" customFormat="1" x14ac:dyDescent="0.25">
      <c r="C26" s="42"/>
      <c r="D26" s="42"/>
      <c r="E26" s="42"/>
      <c r="F26" s="43"/>
      <c r="G26" s="44"/>
      <c r="H26" s="42"/>
      <c r="I26" s="45"/>
      <c r="J26" s="46"/>
      <c r="K26" s="47"/>
      <c r="L26" s="48"/>
      <c r="M26" s="48"/>
      <c r="N26" s="48"/>
    </row>
    <row r="27" spans="1:30" s="111" customFormat="1" x14ac:dyDescent="0.25">
      <c r="C27" s="42"/>
      <c r="D27" s="42"/>
      <c r="E27" s="42"/>
      <c r="F27" s="42"/>
      <c r="G27" s="44"/>
      <c r="H27" s="42"/>
      <c r="I27" s="45"/>
      <c r="J27" s="46"/>
      <c r="K27" s="47"/>
      <c r="L27" s="48"/>
      <c r="M27" s="48"/>
      <c r="N27" s="48"/>
    </row>
    <row r="28" spans="1:30" s="111" customFormat="1" x14ac:dyDescent="0.25">
      <c r="C28" s="42"/>
      <c r="D28" s="42"/>
      <c r="E28" s="42"/>
      <c r="F28" s="42"/>
      <c r="G28" s="44"/>
      <c r="H28" s="42"/>
      <c r="I28" s="45"/>
      <c r="J28" s="46"/>
      <c r="K28" s="47"/>
      <c r="L28" s="48"/>
      <c r="M28" s="48"/>
      <c r="N28" s="48"/>
    </row>
    <row r="29" spans="1:30" s="111" customFormat="1" x14ac:dyDescent="0.25">
      <c r="I29" s="113"/>
      <c r="J29" s="114"/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1">
    <mergeCell ref="L11:N11"/>
    <mergeCell ref="L12:N12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">
    <cfRule type="iconSet" priority="17">
      <iconSet iconSet="3Symbols">
        <cfvo type="percent" val="0"/>
        <cfvo type="num" val="0" gte="0"/>
        <cfvo type="num" val="3"/>
      </iconSet>
    </cfRule>
  </conditionalFormatting>
  <conditionalFormatting sqref="K17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K25:N28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L17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L14:N14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M17:N17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14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17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4F46CD09-3740-4476-B70E-89DDD8C63DB3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1461-9253-4571-852D-485FD7FF67ED}">
  <sheetPr>
    <tabColor theme="5" tint="0.59999389629810485"/>
  </sheetPr>
  <dimension ref="A1:AD404"/>
  <sheetViews>
    <sheetView topLeftCell="B7" zoomScale="86" zoomScaleNormal="86" workbookViewId="0">
      <selection activeCell="J29" sqref="J29"/>
    </sheetView>
  </sheetViews>
  <sheetFormatPr baseColWidth="10" defaultRowHeight="15.75" x14ac:dyDescent="0.25"/>
  <cols>
    <col min="1" max="2" width="11.42578125" style="106"/>
    <col min="3" max="3" width="11.42578125" style="106" customWidth="1"/>
    <col min="4" max="4" width="14" style="106" customWidth="1"/>
    <col min="5" max="5" width="14.28515625" style="106" customWidth="1"/>
    <col min="6" max="6" width="25.7109375" style="106" customWidth="1"/>
    <col min="7" max="7" width="24" style="106" customWidth="1"/>
    <col min="8" max="8" width="11.85546875" style="106" customWidth="1"/>
    <col min="9" max="9" width="8.5703125" style="115" customWidth="1"/>
    <col min="10" max="10" width="11.5703125" style="116" customWidth="1"/>
    <col min="11" max="11" width="9.85546875" style="106" customWidth="1"/>
    <col min="12" max="12" width="8.85546875" style="106" customWidth="1"/>
    <col min="13" max="13" width="6.7109375" style="106" customWidth="1"/>
    <col min="14" max="14" width="9.28515625" style="106" customWidth="1"/>
    <col min="15" max="15" width="13.28515625" style="106" customWidth="1"/>
    <col min="16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6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3"/>
      <c r="F6" s="103"/>
      <c r="G6" s="103"/>
      <c r="H6" s="103"/>
      <c r="I6" s="103"/>
      <c r="J6" s="10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3"/>
      <c r="G7" s="103"/>
      <c r="H7" s="103"/>
      <c r="I7" s="103"/>
      <c r="J7" s="10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03"/>
      <c r="G8" s="103"/>
      <c r="H8" s="103"/>
      <c r="I8" s="103"/>
      <c r="J8" s="103"/>
      <c r="K8" s="1"/>
      <c r="L8" s="1"/>
      <c r="M8" s="1"/>
      <c r="N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103"/>
      <c r="E9" s="103"/>
      <c r="F9" s="103"/>
      <c r="G9" s="103"/>
      <c r="H9" s="103"/>
      <c r="I9" s="103"/>
      <c r="J9" s="103"/>
      <c r="K9" s="1"/>
      <c r="L9" s="1"/>
      <c r="M9" s="1"/>
      <c r="N9" s="1"/>
      <c r="O9" s="1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03"/>
      <c r="E10" s="103"/>
      <c r="F10" s="103"/>
      <c r="G10" s="103"/>
      <c r="H10" s="103"/>
      <c r="I10" s="103"/>
      <c r="J10" s="10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5"/>
      <c r="D11" s="103"/>
      <c r="E11" s="103"/>
      <c r="F11" s="103"/>
      <c r="G11" s="103"/>
      <c r="H11" s="103"/>
      <c r="I11" s="103"/>
      <c r="J11" s="103"/>
      <c r="K11" s="103"/>
      <c r="L11" s="243" t="str">
        <f>"GANANCIAS: "&amp;SUM(I14:I866)</f>
        <v>GANANCIAS: 30</v>
      </c>
      <c r="M11" s="244"/>
      <c r="N11" s="24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93"/>
      <c r="P12" s="193" t="s">
        <v>46</v>
      </c>
      <c r="Q12" s="193"/>
      <c r="R12" s="19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78" t="s">
        <v>11</v>
      </c>
      <c r="D13" s="78" t="s">
        <v>0</v>
      </c>
      <c r="E13" s="78" t="s">
        <v>1</v>
      </c>
      <c r="F13" s="78" t="s">
        <v>33</v>
      </c>
      <c r="G13" s="78" t="s">
        <v>53</v>
      </c>
      <c r="H13" s="78" t="s">
        <v>12</v>
      </c>
      <c r="I13" s="79" t="s">
        <v>3</v>
      </c>
      <c r="J13" s="80" t="s">
        <v>4</v>
      </c>
      <c r="K13" s="98" t="s">
        <v>5</v>
      </c>
      <c r="L13" s="207" t="s">
        <v>6</v>
      </c>
      <c r="M13" s="208" t="s">
        <v>7</v>
      </c>
      <c r="N13" s="209" t="s">
        <v>8</v>
      </c>
      <c r="O13" s="195" t="s">
        <v>15</v>
      </c>
      <c r="P13" s="195" t="s">
        <v>45</v>
      </c>
      <c r="Q13" s="196" t="s">
        <v>4</v>
      </c>
      <c r="R13" s="81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22</v>
      </c>
      <c r="D14" s="14" t="s">
        <v>37</v>
      </c>
      <c r="E14" s="13">
        <v>945174408</v>
      </c>
      <c r="F14" s="15" t="s">
        <v>34</v>
      </c>
      <c r="G14" s="15" t="s">
        <v>35</v>
      </c>
      <c r="H14" s="16" t="s">
        <v>36</v>
      </c>
      <c r="I14" s="17">
        <v>15</v>
      </c>
      <c r="J14" s="49" t="s">
        <v>44</v>
      </c>
      <c r="K14" s="92">
        <f ca="1">J14-K$12</f>
        <v>-224</v>
      </c>
      <c r="L14" s="204" t="str">
        <f ca="1">HYPERLINK("https://api.whatsapp.com/send?phone="&amp;E14&amp;"&amp;text="&amp;(IF(K14&lt;=0,"🚨 Hola, *"&amp;D14&amp;".*"&amp;"%0A"&amp;"Su cuenta de IPTV PREMIUM vencio, Porfavor renueve si aun desea el servicio."&amp;"%0A"&amp;"*Tiene todo el dia para realizar el pago de lo contrario al dia siguiente sera suspendida*"&amp;"%0A"&amp;"*GRACIAS*","*MENSAJE RECORDATORIO 🚨*"&amp;"%0A"&amp;"%0A"&amp;"Hola, "&amp;C14&amp;"."&amp;"%0A"&amp;"Te quedan "&amp;K14&amp;" Dias restantes para renovar su cuenta de *IPTV PREMIUM*")),"💰")</f>
        <v>💰</v>
      </c>
      <c r="M14" s="205" t="str">
        <f>HYPERLINK("https://api.whatsapp.com/send?phone="&amp;E14&amp;"&amp;text=*🔴 Cambio de usuario: IPTV PREMIUM*"&amp;"%0A"&amp;"%0A"&amp;"💻 Correo: *"&amp;G14&amp;"*"&amp;"%0A"&amp;"🔐 Nueva Contraseña: *"&amp;H14&amp;"*","🔐")</f>
        <v>🔐</v>
      </c>
      <c r="N14" s="206" t="str">
        <f>HYPERLINK("https://api.whatsapp.com/send?phone=51"&amp;E14&amp;"&amp;text=*🔴 IPTV PREMIUM*"&amp;"%0A"&amp;"%0A"&amp;"*📧 Usuario:* "&amp;G14&amp;"%0A"&amp;"*🔑 Contraseña:* "&amp;H14&amp;"%0A"&amp;"%0A"&amp;"*🖥 URL:* "&amp;F14&amp;"%0A"&amp;"%0A"&amp;"*📍 Vence:* "&amp;J14,"💻")</f>
        <v>💻</v>
      </c>
      <c r="O14" s="15" t="s">
        <v>22</v>
      </c>
      <c r="P14" s="190">
        <v>5</v>
      </c>
      <c r="Q14" s="71" t="s">
        <v>17</v>
      </c>
      <c r="R14" s="149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21" t="s">
        <v>34</v>
      </c>
      <c r="G15" s="22"/>
      <c r="H15" s="23"/>
      <c r="I15" s="24"/>
      <c r="J15" s="51"/>
      <c r="K15" s="93">
        <f ca="1">J15-K$12</f>
        <v>-45392</v>
      </c>
      <c r="L15" s="131" t="str">
        <f t="shared" ref="L15:L16" ca="1" si="0">HYPERLINK("https://api.whatsapp.com/send?phone="&amp;E15&amp;"&amp;text="&amp;(IF(K15&lt;=0,"🚨 Hola, *"&amp;D15&amp;".*"&amp;"%0A"&amp;"Su cuenta de IPTV PREMIUM vencio, Porfavor renueve si aun desea el servicio."&amp;"%0A"&amp;"*Tiene todo el dia para realizar el pago de lo contrario al dia siguiente sera suspendida*"&amp;"%0A"&amp;"*GRACIAS*","*MENSAJE RECORDATORIO 🚨*"&amp;"%0A"&amp;"%0A"&amp;"Hola, "&amp;C15&amp;"."&amp;"%0A"&amp;"Te quedan "&amp;K15&amp;" Dias restantes para renovar su cuenta de *IPTV PREMIUM*")),"💰")</f>
        <v>💰</v>
      </c>
      <c r="M15" s="101" t="str">
        <f t="shared" ref="M15:M16" si="1">HYPERLINK("https://api.whatsapp.com/send?phone="&amp;E15&amp;"&amp;text=*🔴 Cambio de usuario: IPTV PREMIUM*"&amp;"%0A"&amp;"%0A"&amp;"💻 Correo: *"&amp;G15&amp;"*"&amp;"%0A"&amp;"🔐 Nueva Contraseña: *"&amp;H15&amp;"*","🔐")</f>
        <v>🔐</v>
      </c>
      <c r="N15" s="140" t="str">
        <f t="shared" ref="N15:N16" si="2">HYPERLINK("https://api.whatsapp.com/send?phone=51"&amp;E15&amp;"&amp;text=*🔴 IPTV PREMIUM*"&amp;"%0A"&amp;"%0A"&amp;"*📧 Usuario:* "&amp;G15&amp;"%0A"&amp;"*🔑 Contraseña:* "&amp;H15&amp;"%0A"&amp;"%0A"&amp;"*🖥 URL:* "&amp;F15&amp;"%0A"&amp;"%0A"&amp;"*📍 Vence:* "&amp;J15,"💻")</f>
        <v>💻</v>
      </c>
      <c r="O15" s="189"/>
      <c r="P15" s="172"/>
      <c r="Q15" s="191"/>
      <c r="R15" s="150">
        <f t="shared" ref="R15:R16" ca="1" si="3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thickBot="1" x14ac:dyDescent="0.3">
      <c r="A16" s="1"/>
      <c r="B16" s="1"/>
      <c r="C16" s="27"/>
      <c r="D16" s="28"/>
      <c r="E16" s="27"/>
      <c r="F16" s="76" t="s">
        <v>34</v>
      </c>
      <c r="G16" s="29"/>
      <c r="H16" s="30"/>
      <c r="I16" s="31"/>
      <c r="J16" s="60"/>
      <c r="K16" s="94">
        <f t="shared" ref="K16" ca="1" si="4">J16-K$12</f>
        <v>-45392</v>
      </c>
      <c r="L16" s="131" t="str">
        <f t="shared" ca="1" si="0"/>
        <v>💰</v>
      </c>
      <c r="M16" s="101" t="str">
        <f t="shared" si="1"/>
        <v>🔐</v>
      </c>
      <c r="N16" s="140" t="str">
        <f t="shared" si="2"/>
        <v>💻</v>
      </c>
      <c r="O16" s="174"/>
      <c r="P16" s="182"/>
      <c r="Q16" s="192"/>
      <c r="R16" s="179">
        <f t="shared" ca="1" si="3"/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09"/>
      <c r="K17" s="1"/>
      <c r="L17" s="1"/>
      <c r="M17" s="1"/>
      <c r="N17" s="1"/>
      <c r="O17" s="1"/>
      <c r="P17" s="145"/>
      <c r="Q17" s="108"/>
      <c r="R17" s="3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81" t="s">
        <v>11</v>
      </c>
      <c r="D18" s="81" t="s">
        <v>0</v>
      </c>
      <c r="E18" s="81" t="s">
        <v>1</v>
      </c>
      <c r="F18" s="81" t="s">
        <v>33</v>
      </c>
      <c r="G18" s="81" t="s">
        <v>53</v>
      </c>
      <c r="H18" s="81" t="s">
        <v>12</v>
      </c>
      <c r="I18" s="82" t="s">
        <v>3</v>
      </c>
      <c r="J18" s="84" t="s">
        <v>4</v>
      </c>
      <c r="K18" s="99" t="s">
        <v>5</v>
      </c>
      <c r="L18" s="198" t="s">
        <v>6</v>
      </c>
      <c r="M18" s="199" t="s">
        <v>7</v>
      </c>
      <c r="N18" s="200" t="s">
        <v>8</v>
      </c>
      <c r="O18" s="81" t="s">
        <v>15</v>
      </c>
      <c r="P18" s="195" t="s">
        <v>45</v>
      </c>
      <c r="Q18" s="196" t="s">
        <v>4</v>
      </c>
      <c r="R18" s="81" t="s">
        <v>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32" t="s">
        <v>22</v>
      </c>
      <c r="D19" s="32" t="s">
        <v>37</v>
      </c>
      <c r="E19" s="32">
        <v>945174408</v>
      </c>
      <c r="F19" s="34" t="s">
        <v>34</v>
      </c>
      <c r="G19" s="34" t="s">
        <v>38</v>
      </c>
      <c r="H19" s="35" t="s">
        <v>39</v>
      </c>
      <c r="I19" s="83">
        <v>15</v>
      </c>
      <c r="J19" s="85" t="s">
        <v>17</v>
      </c>
      <c r="K19" s="96">
        <f ca="1">J19-K$12</f>
        <v>-193</v>
      </c>
      <c r="L19" s="201" t="str">
        <f ca="1">HYPERLINK("https://api.whatsapp.com/send?phone="&amp;E19&amp;"&amp;text="&amp;(IF(K19&lt;=0,"🚨 Hola, *"&amp;D19&amp;".*"&amp;"%0A"&amp;"Su cuenta de IPTV PREMIUM vencio, Porfavor renueve si aun desea el servicio."&amp;"%0A"&amp;"*Tiene todo el dia para realizar el pago de lo contrario al dia siguiente sera suspendida*"&amp;"%0A"&amp;"*GRACIAS*","*MENSAJE RECORDATORIO 🚨*"&amp;"%0A"&amp;"%0A"&amp;"Hola, "&amp;C19&amp;"."&amp;"%0A"&amp;"Te quedan "&amp;K19&amp;" Dias restantes para renovar su cuenta de *IPTV PREMIUM*")),"💰")</f>
        <v>💰</v>
      </c>
      <c r="M19" s="202" t="str">
        <f>HYPERLINK("https://api.whatsapp.com/send?phone="&amp;E19&amp;"&amp;text=*🔴 Cambio de usuario: IPTV PREMIUM*"&amp;"%0A"&amp;"%0A"&amp;"💻 Correo: *"&amp;G19&amp;"*"&amp;"%0A"&amp;"🔐 Nueva Contraseña: *"&amp;H19&amp;"*","🔐")</f>
        <v>🔐</v>
      </c>
      <c r="N19" s="203" t="str">
        <f>HYPERLINK("https://api.whatsapp.com/send?phone=51"&amp;E19&amp;"&amp;text=*🔴 IPTV PREMIUM COMPLETO*"&amp;"%0A"&amp;"%0A"&amp;"*📧 Usuario:* "&amp;G19&amp;"%0A"&amp;"*🔑 Contraseña:* "&amp;H19&amp;"%0A"&amp;"%0A"&amp;"*🖥 URL:* "&amp;F19&amp;"%0A"&amp;"%0A"&amp;"*📍 Vence:* "&amp;J19,"💻")</f>
        <v>💻</v>
      </c>
      <c r="O19" s="34" t="s">
        <v>22</v>
      </c>
      <c r="P19" s="142">
        <v>5</v>
      </c>
      <c r="Q19" s="85" t="s">
        <v>17</v>
      </c>
      <c r="R19" s="197">
        <f ca="1">Q19-TODAY()</f>
        <v>-193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42"/>
      <c r="E20" s="42"/>
      <c r="F20" s="42"/>
      <c r="G20" s="42"/>
      <c r="H20" s="42"/>
      <c r="I20" s="42"/>
      <c r="J20" s="42"/>
      <c r="K20" s="47"/>
      <c r="L20" s="48"/>
      <c r="M20" s="48"/>
      <c r="N20" s="48"/>
      <c r="O20" s="110"/>
      <c r="P20" s="145"/>
      <c r="Q20" s="146"/>
      <c r="R20" s="3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D21" s="5"/>
      <c r="E21" s="5"/>
      <c r="F21" s="5"/>
      <c r="G21" s="5"/>
      <c r="H21" s="5"/>
      <c r="I21" s="6"/>
      <c r="J21" s="7"/>
      <c r="K21" s="8">
        <f ca="1">TODAY()</f>
        <v>45392</v>
      </c>
      <c r="L21" s="230" t="s">
        <v>9</v>
      </c>
      <c r="M21" s="231"/>
      <c r="N21" s="235"/>
      <c r="O21" s="193"/>
      <c r="P21" s="193" t="s">
        <v>46</v>
      </c>
      <c r="Q21" s="193"/>
      <c r="R21" s="194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78" t="s">
        <v>11</v>
      </c>
      <c r="D22" s="78" t="s">
        <v>0</v>
      </c>
      <c r="E22" s="78" t="s">
        <v>1</v>
      </c>
      <c r="F22" s="78" t="s">
        <v>33</v>
      </c>
      <c r="G22" s="78" t="s">
        <v>53</v>
      </c>
      <c r="H22" s="78" t="s">
        <v>12</v>
      </c>
      <c r="I22" s="79" t="s">
        <v>3</v>
      </c>
      <c r="J22" s="80" t="s">
        <v>4</v>
      </c>
      <c r="K22" s="98" t="s">
        <v>5</v>
      </c>
      <c r="L22" s="207" t="s">
        <v>6</v>
      </c>
      <c r="M22" s="208" t="s">
        <v>7</v>
      </c>
      <c r="N22" s="209" t="s">
        <v>8</v>
      </c>
      <c r="O22" s="195" t="s">
        <v>15</v>
      </c>
      <c r="P22" s="195" t="s">
        <v>45</v>
      </c>
      <c r="Q22" s="196" t="s">
        <v>4</v>
      </c>
      <c r="R22" s="81" t="s"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x14ac:dyDescent="0.25">
      <c r="A23" s="1"/>
      <c r="B23" s="1"/>
      <c r="C23" s="13"/>
      <c r="D23" s="14"/>
      <c r="E23" s="13"/>
      <c r="F23" s="15" t="s">
        <v>34</v>
      </c>
      <c r="G23" s="15"/>
      <c r="H23" s="16"/>
      <c r="I23" s="17"/>
      <c r="J23" s="49"/>
      <c r="K23" s="92">
        <f ca="1">J23-K$12</f>
        <v>-45392</v>
      </c>
      <c r="L23" s="204" t="str">
        <f ca="1">HYPERLINK("https://api.whatsapp.com/send?phone="&amp;E23&amp;"&amp;text="&amp;(IF(K23&lt;=0,"🚨 Hola, *"&amp;D23&amp;".*"&amp;"%0A"&amp;"Su cuenta de IPTV PREMIUM vencio, Porfavor renueve si aun desea el servicio."&amp;"%0A"&amp;"*Tiene todo el dia para realizar el pago de lo contrario al dia siguiente sera suspendida*"&amp;"%0A"&amp;"*GRACIAS*","*MENSAJE RECORDATORIO 🚨*"&amp;"%0A"&amp;"%0A"&amp;"Hola, "&amp;C23&amp;"."&amp;"%0A"&amp;"Te quedan "&amp;K23&amp;" Dias restantes para renovar su cuenta de *IPTV PREMIUM*")),"💰")</f>
        <v>💰</v>
      </c>
      <c r="M23" s="205" t="str">
        <f>HYPERLINK("https://api.whatsapp.com/send?phone="&amp;E23&amp;"&amp;text=*🔴 Cambio de usuario: IPTV PREMIUM*"&amp;"%0A"&amp;"%0A"&amp;"💻 Correo: *"&amp;G23&amp;"*"&amp;"%0A"&amp;"🔐 Nueva Contraseña: *"&amp;H23&amp;"*","🔐")</f>
        <v>🔐</v>
      </c>
      <c r="N23" s="206" t="str">
        <f>HYPERLINK("https://api.whatsapp.com/send?phone=51"&amp;E23&amp;"&amp;text=*🔴 IPTV PREMIUM*"&amp;"%0A"&amp;"%0A"&amp;"*📧 Usuario:* "&amp;G23&amp;"%0A"&amp;"*🔑 Contraseña:* "&amp;H23&amp;"%0A"&amp;"%0A"&amp;"*🖥 URL:* "&amp;F23&amp;"%0A"&amp;"%0A"&amp;"*📍 Vence:* "&amp;J23,"💻")</f>
        <v>💻</v>
      </c>
      <c r="O23" s="15"/>
      <c r="P23" s="190"/>
      <c r="Q23" s="71"/>
      <c r="R23" s="149">
        <f ca="1">Q23-TODAY()</f>
        <v>-45392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x14ac:dyDescent="0.25">
      <c r="B24" s="1"/>
      <c r="C24" s="19"/>
      <c r="D24" s="20"/>
      <c r="E24" s="19"/>
      <c r="F24" s="21" t="s">
        <v>34</v>
      </c>
      <c r="G24" s="22"/>
      <c r="H24" s="23"/>
      <c r="I24" s="24"/>
      <c r="J24" s="51"/>
      <c r="K24" s="93">
        <f ca="1">J24-K$12</f>
        <v>-45392</v>
      </c>
      <c r="L24" s="131" t="str">
        <f t="shared" ref="L24:L25" ca="1" si="5">HYPERLINK("https://api.whatsapp.com/send?phone="&amp;E24&amp;"&amp;text="&amp;(IF(K24&lt;=0,"🚨 Hola, *"&amp;D24&amp;".*"&amp;"%0A"&amp;"Su cuenta de IPTV PREMIUM vencio, Porfavor renueve si aun desea el servicio."&amp;"%0A"&amp;"*Tiene todo el dia para realizar el pago de lo contrario al dia siguiente sera suspendida*"&amp;"%0A"&amp;"*GRACIAS*","*MENSAJE RECORDATORIO 🚨*"&amp;"%0A"&amp;"%0A"&amp;"Hola, "&amp;C24&amp;"."&amp;"%0A"&amp;"Te quedan "&amp;K24&amp;" Dias restantes para renovar su cuenta de *IPTV PREMIUM*")),"💰")</f>
        <v>💰</v>
      </c>
      <c r="M24" s="101" t="str">
        <f t="shared" ref="M24:M25" si="6">HYPERLINK("https://api.whatsapp.com/send?phone="&amp;E24&amp;"&amp;text=*🔴 Cambio de usuario: IPTV PREMIUM*"&amp;"%0A"&amp;"%0A"&amp;"💻 Correo: *"&amp;G24&amp;"*"&amp;"%0A"&amp;"🔐 Nueva Contraseña: *"&amp;H24&amp;"*","🔐")</f>
        <v>🔐</v>
      </c>
      <c r="N24" s="140" t="str">
        <f t="shared" ref="N24:N25" si="7">HYPERLINK("https://api.whatsapp.com/send?phone=51"&amp;E24&amp;"&amp;text=*🔴 IPTV PREMIUM*"&amp;"%0A"&amp;"%0A"&amp;"*📧 Usuario:* "&amp;G24&amp;"%0A"&amp;"*🔑 Contraseña:* "&amp;H24&amp;"%0A"&amp;"%0A"&amp;"*🖥 URL:* "&amp;F24&amp;"%0A"&amp;"%0A"&amp;"*📍 Vence:* "&amp;J24,"💻")</f>
        <v>💻</v>
      </c>
      <c r="O24" s="189"/>
      <c r="P24" s="172"/>
      <c r="Q24" s="191"/>
      <c r="R24" s="150">
        <f t="shared" ref="R24:R25" ca="1" si="8">Q24-TODAY()</f>
        <v>-45392</v>
      </c>
    </row>
    <row r="25" spans="1:30" s="111" customFormat="1" ht="16.5" thickBot="1" x14ac:dyDescent="0.3">
      <c r="C25" s="27"/>
      <c r="D25" s="28"/>
      <c r="E25" s="27"/>
      <c r="F25" s="76" t="s">
        <v>34</v>
      </c>
      <c r="G25" s="29"/>
      <c r="H25" s="30"/>
      <c r="I25" s="31"/>
      <c r="J25" s="60"/>
      <c r="K25" s="94">
        <f t="shared" ref="K25" ca="1" si="9">J25-K$12</f>
        <v>-45392</v>
      </c>
      <c r="L25" s="131" t="str">
        <f t="shared" ca="1" si="5"/>
        <v>💰</v>
      </c>
      <c r="M25" s="101" t="str">
        <f t="shared" si="6"/>
        <v>🔐</v>
      </c>
      <c r="N25" s="140" t="str">
        <f t="shared" si="7"/>
        <v>💻</v>
      </c>
      <c r="O25" s="174"/>
      <c r="P25" s="182"/>
      <c r="Q25" s="192"/>
      <c r="R25" s="179">
        <f t="shared" ca="1" si="8"/>
        <v>-45392</v>
      </c>
    </row>
    <row r="26" spans="1:30" s="111" customFormat="1" x14ac:dyDescent="0.25">
      <c r="C26" s="42"/>
      <c r="D26" s="42"/>
      <c r="E26" s="42"/>
      <c r="F26" s="43"/>
      <c r="G26" s="44"/>
      <c r="H26" s="42"/>
      <c r="I26" s="45"/>
      <c r="J26" s="46"/>
      <c r="K26" s="47"/>
      <c r="L26" s="48"/>
      <c r="M26" s="48"/>
      <c r="N26" s="48"/>
    </row>
    <row r="27" spans="1:30" s="111" customFormat="1" x14ac:dyDescent="0.25">
      <c r="C27" s="42"/>
      <c r="D27" s="42"/>
      <c r="E27" s="42"/>
      <c r="F27" s="42"/>
      <c r="G27" s="44"/>
      <c r="H27" s="42"/>
      <c r="I27" s="45"/>
      <c r="J27" s="46"/>
      <c r="K27" s="47"/>
      <c r="L27" s="48"/>
      <c r="M27" s="48"/>
      <c r="N27" s="48"/>
    </row>
    <row r="28" spans="1:30" s="111" customFormat="1" x14ac:dyDescent="0.25">
      <c r="C28" s="42"/>
      <c r="D28" s="42"/>
      <c r="E28" s="42"/>
      <c r="F28" s="42"/>
      <c r="G28" s="44"/>
      <c r="H28" s="42"/>
      <c r="I28" s="45"/>
      <c r="J28" s="46"/>
      <c r="K28" s="47"/>
      <c r="L28" s="48"/>
      <c r="M28" s="48"/>
      <c r="N28" s="48"/>
    </row>
    <row r="29" spans="1:30" s="111" customFormat="1" x14ac:dyDescent="0.25">
      <c r="I29" s="113"/>
      <c r="J29" s="114"/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1">
    <mergeCell ref="L21:N21"/>
    <mergeCell ref="X2:Y2"/>
    <mergeCell ref="S9:T9"/>
    <mergeCell ref="X9:Y9"/>
    <mergeCell ref="D1:E1"/>
    <mergeCell ref="D2:E2"/>
    <mergeCell ref="Q2:Q9"/>
    <mergeCell ref="S2:T2"/>
    <mergeCell ref="U2:U9"/>
    <mergeCell ref="L11:N11"/>
    <mergeCell ref="L12:N12"/>
  </mergeCells>
  <conditionalFormatting sqref="K14:K16 K19:K20 K23:K25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K26:N28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L14:N16 L19:N20 L23:N25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R14:R16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R19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R23:R25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F14" r:id="rId1" xr:uid="{09F7E233-CDA8-4FD4-AC6F-280DB113F7E6}"/>
    <hyperlink ref="F15" r:id="rId2" xr:uid="{D55CE208-CC40-4567-8BD3-6F14E0AAAD62}"/>
    <hyperlink ref="F16" r:id="rId3" xr:uid="{2DD1FFDF-7D63-4FCF-AC6D-EAA3493A4BD5}"/>
    <hyperlink ref="F19" r:id="rId4" xr:uid="{5C9A1AB1-8E00-464B-86E9-202887B772E8}"/>
    <hyperlink ref="F23" r:id="rId5" xr:uid="{F31EB6A5-0C22-4169-93B4-FBB62E6CD172}"/>
    <hyperlink ref="F24" r:id="rId6" xr:uid="{714A42BE-89F4-45A7-86CA-89F49BB488D3}"/>
    <hyperlink ref="F25" r:id="rId7" xr:uid="{34A5594D-D424-4153-9B0D-F898C1C5DB09}"/>
  </hyperlinks>
  <pageMargins left="0.7" right="0.7" top="0.75" bottom="0.75" header="0.3" footer="0.3"/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42AD-853D-49A0-AF4E-CD16ECCF8516}">
  <sheetPr>
    <tabColor theme="5"/>
  </sheetPr>
  <dimension ref="A1:AD404"/>
  <sheetViews>
    <sheetView topLeftCell="B6" zoomScale="84" zoomScaleNormal="84" workbookViewId="0">
      <selection activeCell="K8" sqref="K8"/>
    </sheetView>
  </sheetViews>
  <sheetFormatPr baseColWidth="10" defaultRowHeight="15.75" x14ac:dyDescent="0.25"/>
  <cols>
    <col min="1" max="2" width="11.42578125" style="106"/>
    <col min="3" max="4" width="10" style="106" customWidth="1"/>
    <col min="5" max="5" width="13" style="106" customWidth="1"/>
    <col min="6" max="6" width="13.5703125" style="106" customWidth="1"/>
    <col min="7" max="7" width="28.140625" style="106" customWidth="1"/>
    <col min="8" max="8" width="11.85546875" style="106" customWidth="1"/>
    <col min="9" max="9" width="8.5703125" style="115" customWidth="1"/>
    <col min="10" max="10" width="12.85546875" style="116" customWidth="1"/>
    <col min="11" max="11" width="9.85546875" style="106" customWidth="1"/>
    <col min="12" max="12" width="8.5703125" style="106" customWidth="1"/>
    <col min="13" max="13" width="6.7109375" style="106" customWidth="1"/>
    <col min="14" max="14" width="9.28515625" style="106" customWidth="1"/>
    <col min="15" max="15" width="13.85546875" style="106" customWidth="1"/>
    <col min="16" max="16" width="9.7109375" style="106" customWidth="1"/>
    <col min="17" max="17" width="11.42578125" style="106"/>
    <col min="18" max="18" width="9.5703125" style="106" customWidth="1"/>
    <col min="19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6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3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12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91"/>
      <c r="P12" s="214" t="s">
        <v>46</v>
      </c>
      <c r="Q12" s="214"/>
      <c r="R12" s="21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86" t="s">
        <v>11</v>
      </c>
      <c r="D13" s="86" t="s">
        <v>0</v>
      </c>
      <c r="E13" s="86" t="s">
        <v>1</v>
      </c>
      <c r="F13" s="86" t="s">
        <v>50</v>
      </c>
      <c r="G13" s="86" t="s">
        <v>2</v>
      </c>
      <c r="H13" s="87" t="s">
        <v>12</v>
      </c>
      <c r="I13" s="88" t="s">
        <v>3</v>
      </c>
      <c r="J13" s="89" t="s">
        <v>4</v>
      </c>
      <c r="K13" s="91" t="s">
        <v>5</v>
      </c>
      <c r="L13" s="210" t="s">
        <v>6</v>
      </c>
      <c r="M13" s="95" t="s">
        <v>7</v>
      </c>
      <c r="N13" s="211" t="s">
        <v>8</v>
      </c>
      <c r="O13" s="216" t="s">
        <v>15</v>
      </c>
      <c r="P13" s="217" t="s">
        <v>45</v>
      </c>
      <c r="Q13" s="218" t="s">
        <v>4</v>
      </c>
      <c r="R13" s="219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22</v>
      </c>
      <c r="D14" s="14" t="s">
        <v>21</v>
      </c>
      <c r="E14" s="13">
        <v>945174408</v>
      </c>
      <c r="F14" s="13" t="s">
        <v>26</v>
      </c>
      <c r="G14" s="15" t="s">
        <v>40</v>
      </c>
      <c r="H14" s="16" t="s">
        <v>24</v>
      </c>
      <c r="I14" s="17">
        <v>6</v>
      </c>
      <c r="J14" s="49" t="s">
        <v>44</v>
      </c>
      <c r="K14" s="92">
        <f ca="1">J14-K$12</f>
        <v>-224</v>
      </c>
      <c r="L14" s="212" t="str">
        <f ca="1">HYPERLINK("https://api.whatsapp.com/send?phone="&amp;E14&amp;"&amp;text="&amp;(IF(K14&lt;=0,"🚨 Hola, *"&amp;D14&amp;".*"&amp;"%0A"&amp;"Su cuenta de Crunchyroll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*CRUNCHYROLL*")),"💰")</f>
        <v>💰</v>
      </c>
      <c r="M14" s="101" t="str">
        <f>HYPERLINK("https://api.whatsapp.com/send?phone="&amp;E14&amp;"&amp;text=*🔴 Cambio de contraseña: Crunchyroll*"&amp;"%0A"&amp;"%0A"&amp;"💻 Correo: *"&amp;G14&amp;"*"&amp;"%0A"&amp;"🔐 Nueva Contraseña: *"&amp;H14&amp;"*","🔐")</f>
        <v>🔐</v>
      </c>
      <c r="N14" s="213" t="str">
        <f>HYPERLINK("https://api.whatsapp.com/send?phone=51"&amp;E14&amp;"&amp;text=*🔴 CRUNCHYROLL*"&amp;"%0A"&amp;"%0A"&amp;"*📧 Correo:* "&amp;G14&amp;"%0A"&amp;"*🔑 Contraseña:* "&amp;H14&amp;"%0A"&amp;"%0A"&amp;"*🖥 Perfil:* "&amp;D14&amp;"%0A"&amp;"%0A"&amp;"*📍 Vence:* "&amp;J14,"💻")</f>
        <v>💻</v>
      </c>
      <c r="O14" s="15" t="s">
        <v>22</v>
      </c>
      <c r="P14" s="141">
        <v>8</v>
      </c>
      <c r="Q14" s="58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21"/>
      <c r="G15" s="22"/>
      <c r="H15" s="23"/>
      <c r="I15" s="24"/>
      <c r="J15" s="51"/>
      <c r="K15" s="93">
        <f ca="1">J15-K$12</f>
        <v>-45392</v>
      </c>
      <c r="L15" s="212" t="str">
        <f t="shared" ref="L15:L18" ca="1" si="0">HYPERLINK("https://api.whatsapp.com/send?phone="&amp;E15&amp;"&amp;text="&amp;(IF(K15&lt;=0,"🚨 Hola, *"&amp;D15&amp;".*"&amp;"%0A"&amp;"Su cuenta de Crunchyroll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*CRUNCHYROLL*")),"💰")</f>
        <v>💰</v>
      </c>
      <c r="M15" s="101" t="str">
        <f t="shared" ref="M15:M18" si="1">HYPERLINK("https://api.whatsapp.com/send?phone="&amp;E15&amp;"&amp;text=*🔴 Cambio de contraseña: Crunchyroll*"&amp;"%0A"&amp;"%0A"&amp;"💻 Correo: *"&amp;G15&amp;"*"&amp;"%0A"&amp;"🔐 Nueva Contraseña: *"&amp;H15&amp;"*","🔐")</f>
        <v>🔐</v>
      </c>
      <c r="N15" s="213" t="str">
        <f t="shared" ref="N15:N18" si="2">HYPERLINK("https://api.whatsapp.com/send?phone=51"&amp;E15&amp;"&amp;text=*🔴 CRUNCHYROLL*"&amp;"%0A"&amp;"%0A"&amp;"*📧 Correo:* "&amp;G15&amp;"%0A"&amp;"*🔑 Contraseña:* "&amp;H15&amp;"%0A"&amp;"%0A"&amp;"*🖥 Perfil:* "&amp;D15&amp;"%0A"&amp;"%0A"&amp;"*📍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x14ac:dyDescent="0.25">
      <c r="A16" s="1"/>
      <c r="B16" s="1"/>
      <c r="C16" s="19"/>
      <c r="D16" s="20"/>
      <c r="E16" s="19"/>
      <c r="F16" s="21"/>
      <c r="G16" s="22"/>
      <c r="H16" s="23"/>
      <c r="I16" s="26"/>
      <c r="J16" s="51"/>
      <c r="K16" s="93">
        <f t="shared" ref="K16:K17" ca="1" si="3">J16-K$12</f>
        <v>-45392</v>
      </c>
      <c r="L16" s="212" t="str">
        <f t="shared" ca="1" si="0"/>
        <v>💰</v>
      </c>
      <c r="M16" s="101" t="str">
        <f t="shared" si="1"/>
        <v>🔐</v>
      </c>
      <c r="N16" s="213" t="str">
        <f t="shared" si="2"/>
        <v>💻</v>
      </c>
      <c r="O16" s="22"/>
      <c r="P16" s="24"/>
      <c r="Q16" s="52"/>
      <c r="R16" s="138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x14ac:dyDescent="0.25">
      <c r="A17" s="1"/>
      <c r="B17" s="1"/>
      <c r="C17" s="19"/>
      <c r="D17" s="20"/>
      <c r="E17" s="19"/>
      <c r="F17" s="19"/>
      <c r="G17" s="22"/>
      <c r="H17" s="23"/>
      <c r="I17" s="26"/>
      <c r="J17" s="51"/>
      <c r="K17" s="93">
        <f t="shared" ca="1" si="3"/>
        <v>-45392</v>
      </c>
      <c r="L17" s="212" t="str">
        <f t="shared" ca="1" si="0"/>
        <v>💰</v>
      </c>
      <c r="M17" s="101" t="str">
        <f t="shared" si="1"/>
        <v>🔐</v>
      </c>
      <c r="N17" s="213" t="str">
        <f t="shared" si="2"/>
        <v>💻</v>
      </c>
      <c r="O17" s="22"/>
      <c r="P17" s="24"/>
      <c r="Q17" s="52"/>
      <c r="R17" s="138">
        <f ca="1">Q17-TODAY()</f>
        <v>-45392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27"/>
      <c r="D18" s="28"/>
      <c r="E18" s="27"/>
      <c r="F18" s="27"/>
      <c r="G18" s="29"/>
      <c r="H18" s="30"/>
      <c r="I18" s="31"/>
      <c r="J18" s="60"/>
      <c r="K18" s="94">
        <f ca="1">J18-K$12</f>
        <v>-45392</v>
      </c>
      <c r="L18" s="201" t="str">
        <f t="shared" ca="1" si="0"/>
        <v>💰</v>
      </c>
      <c r="M18" s="202" t="str">
        <f t="shared" si="1"/>
        <v>🔐</v>
      </c>
      <c r="N18" s="203" t="str">
        <f t="shared" si="2"/>
        <v>💻</v>
      </c>
      <c r="O18" s="29"/>
      <c r="P18" s="77"/>
      <c r="Q18" s="53"/>
      <c r="R18" s="139">
        <f ca="1">Q18-TODAY()</f>
        <v>-45392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42"/>
      <c r="D19" s="42"/>
      <c r="E19" s="42"/>
      <c r="F19" s="42"/>
      <c r="G19" s="42"/>
      <c r="H19" s="42"/>
      <c r="I19" s="42"/>
      <c r="J19" s="47"/>
      <c r="K19" s="47"/>
      <c r="L19" s="48"/>
      <c r="M19" s="48"/>
      <c r="N19" s="48"/>
      <c r="O19" s="1"/>
      <c r="P19" s="145"/>
      <c r="Q19" s="146"/>
      <c r="R19" s="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86" t="s">
        <v>11</v>
      </c>
      <c r="E20" s="86" t="s">
        <v>1</v>
      </c>
      <c r="F20" s="86" t="s">
        <v>50</v>
      </c>
      <c r="G20" s="86" t="s">
        <v>2</v>
      </c>
      <c r="H20" s="86" t="s">
        <v>12</v>
      </c>
      <c r="I20" s="88" t="s">
        <v>3</v>
      </c>
      <c r="J20" s="90" t="s">
        <v>4</v>
      </c>
      <c r="K20" s="91" t="s">
        <v>5</v>
      </c>
      <c r="L20" s="198" t="s">
        <v>6</v>
      </c>
      <c r="M20" s="199" t="s">
        <v>7</v>
      </c>
      <c r="N20" s="200" t="s">
        <v>8</v>
      </c>
      <c r="O20" s="86" t="s">
        <v>15</v>
      </c>
      <c r="P20" s="215" t="s">
        <v>45</v>
      </c>
      <c r="Q20" s="218" t="s">
        <v>4</v>
      </c>
      <c r="R20" s="220" t="s">
        <v>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42"/>
      <c r="D21" s="32" t="s">
        <v>22</v>
      </c>
      <c r="E21" s="32">
        <v>945174408</v>
      </c>
      <c r="F21" s="32" t="s">
        <v>26</v>
      </c>
      <c r="G21" s="34" t="s">
        <v>40</v>
      </c>
      <c r="H21" s="35" t="s">
        <v>24</v>
      </c>
      <c r="I21" s="36">
        <v>6</v>
      </c>
      <c r="J21" s="50" t="s">
        <v>17</v>
      </c>
      <c r="K21" s="96">
        <f ca="1">J21-K$12</f>
        <v>-193</v>
      </c>
      <c r="L21" s="201" t="str">
        <f t="shared" ref="L21" ca="1" si="4">HYPERLINK("https://api.whatsapp.com/send?phone="&amp;E21&amp;"&amp;text="&amp;(IF(K21&lt;=0,"🚨 Hola, *"&amp;D21&amp;".*"&amp;"%0A"&amp;"Su cuenta de Crunchyroll vencio, Porfavor renueve si aun desea el servicio."&amp;"%0A"&amp;"*Tiene todo el dia para realizar el pago de lo contrario al dia siguiente sera suspendida*"&amp;"%0A"&amp;"*GRACIAS*","*MENSAJE RECORDATORIO 🚨*"&amp;"%0A"&amp;"%0A"&amp;"Hola, "&amp;D21&amp;"."&amp;"%0A"&amp;"Te quedan "&amp;K21&amp;" Dias restantes para renovar su cuenta de *CRUNCHYROLL*")),"💰")</f>
        <v>💰</v>
      </c>
      <c r="M21" s="202" t="str">
        <f>HYPERLINK("https://api.whatsapp.com/send?phone="&amp;E21&amp;"&amp;text=*🔴 Cambio de contraseña: Crunchyroll*"&amp;"%0A"&amp;"%0A"&amp;"💻 Correo: *"&amp;G21&amp;"*"&amp;"%0A"&amp;"🔐 Nueva Contraseña: *"&amp;H21&amp;"*","🔐")</f>
        <v>🔐</v>
      </c>
      <c r="N21" s="203" t="str">
        <f>HYPERLINK("https://api.whatsapp.com/send?phone=51"&amp;E21&amp;"&amp;text=*🔴 CRUNCHYROLL COMPLETO*"&amp;"%0A"&amp;"%0A"&amp;"*📧 Correo:* "&amp;G21&amp;"%0A"&amp;"*🔑 Contraseña:* "&amp;H21&amp;"%0A"&amp;"%0A"&amp;"*🖥 Perfil:* "&amp;D21&amp;"%0A"&amp;"%0A"&amp;"*📍 Vence:* "&amp;J21,"💻")</f>
        <v>💻</v>
      </c>
      <c r="O21" s="34" t="s">
        <v>22</v>
      </c>
      <c r="P21" s="142">
        <v>8</v>
      </c>
      <c r="Q21" s="143" t="s">
        <v>17</v>
      </c>
      <c r="R21" s="139">
        <f ca="1">Q21-TODAY()</f>
        <v>-193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42"/>
      <c r="D22" s="42"/>
      <c r="E22" s="42"/>
      <c r="F22" s="42"/>
      <c r="G22" s="44"/>
      <c r="H22" s="42"/>
      <c r="I22" s="45"/>
      <c r="J22" s="46"/>
      <c r="K22" s="47"/>
      <c r="L22" s="48"/>
      <c r="M22" s="48"/>
      <c r="N22" s="48"/>
      <c r="O22" s="1"/>
      <c r="P22" s="145"/>
      <c r="Q22" s="146"/>
      <c r="R22" s="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thickBot="1" x14ac:dyDescent="0.3">
      <c r="A23" s="1"/>
      <c r="B23" s="1"/>
      <c r="C23" s="5"/>
      <c r="D23" s="5"/>
      <c r="E23" s="5"/>
      <c r="F23" s="5"/>
      <c r="G23" s="5"/>
      <c r="H23" s="5"/>
      <c r="I23" s="6"/>
      <c r="J23" s="7"/>
      <c r="K23" s="8">
        <f ca="1">TODAY()</f>
        <v>45392</v>
      </c>
      <c r="L23" s="230" t="s">
        <v>9</v>
      </c>
      <c r="M23" s="231"/>
      <c r="N23" s="235"/>
      <c r="O23" s="91"/>
      <c r="P23" s="214" t="s">
        <v>46</v>
      </c>
      <c r="Q23" s="214"/>
      <c r="R23" s="21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ht="16.5" thickBot="1" x14ac:dyDescent="0.3">
      <c r="C24" s="86" t="s">
        <v>11</v>
      </c>
      <c r="D24" s="86" t="s">
        <v>0</v>
      </c>
      <c r="E24" s="86" t="s">
        <v>1</v>
      </c>
      <c r="F24" s="86" t="s">
        <v>50</v>
      </c>
      <c r="G24" s="86" t="s">
        <v>2</v>
      </c>
      <c r="H24" s="87" t="s">
        <v>12</v>
      </c>
      <c r="I24" s="88" t="s">
        <v>3</v>
      </c>
      <c r="J24" s="89" t="s">
        <v>4</v>
      </c>
      <c r="K24" s="91" t="s">
        <v>5</v>
      </c>
      <c r="L24" s="210" t="s">
        <v>6</v>
      </c>
      <c r="M24" s="95" t="s">
        <v>7</v>
      </c>
      <c r="N24" s="211" t="s">
        <v>8</v>
      </c>
      <c r="O24" s="216" t="s">
        <v>15</v>
      </c>
      <c r="P24" s="217" t="s">
        <v>45</v>
      </c>
      <c r="Q24" s="218" t="s">
        <v>4</v>
      </c>
      <c r="R24" s="219" t="s">
        <v>5</v>
      </c>
    </row>
    <row r="25" spans="1:30" s="111" customFormat="1" x14ac:dyDescent="0.25">
      <c r="C25" s="13"/>
      <c r="D25" s="14"/>
      <c r="E25" s="13"/>
      <c r="F25" s="13"/>
      <c r="G25" s="15"/>
      <c r="H25" s="16"/>
      <c r="I25" s="17"/>
      <c r="J25" s="49"/>
      <c r="K25" s="92">
        <f ca="1">J25-K$12</f>
        <v>-45392</v>
      </c>
      <c r="L25" s="212" t="str">
        <f ca="1">HYPERLINK("https://api.whatsapp.com/send?phone="&amp;E25&amp;"&amp;text="&amp;(IF(K25&lt;=0,"🚨 Hola, *"&amp;D25&amp;".*"&amp;"%0A"&amp;"Su cuenta de Crunchyroll vencio, Porfavor renueve si aun desea el servicio."&amp;"%0A"&amp;"*Tiene todo el dia para realizar el pago de lo contrario al dia siguiente sera suspendida*"&amp;"%0A"&amp;"*GRACIAS*","*MENSAJE RECORDATORIO 🚨*"&amp;"%0A"&amp;"%0A"&amp;"Hola, "&amp;D25&amp;"."&amp;"%0A"&amp;"Te quedan "&amp;K25&amp;" Dias restantes para renovar su cuenta de *CRUNCHYROLL*")),"💰")</f>
        <v>💰</v>
      </c>
      <c r="M25" s="101" t="str">
        <f>HYPERLINK("https://api.whatsapp.com/send?phone="&amp;E25&amp;"&amp;text=*🔴 Cambio de contraseña: Crunchyroll*"&amp;"%0A"&amp;"%0A"&amp;"💻 Correo: *"&amp;G25&amp;"*"&amp;"%0A"&amp;"🔐 Nueva Contraseña: *"&amp;H25&amp;"*","🔐")</f>
        <v>🔐</v>
      </c>
      <c r="N25" s="213" t="str">
        <f>HYPERLINK("https://api.whatsapp.com/send?phone=51"&amp;E25&amp;"&amp;text=*🔴 CRUNCHYROLL*"&amp;"%0A"&amp;"%0A"&amp;"*📧 Correo:* "&amp;G25&amp;"%0A"&amp;"*🔑 Contraseña:* "&amp;H25&amp;"%0A"&amp;"%0A"&amp;"*🖥 Perfil:* "&amp;D25&amp;"%0A"&amp;"%0A"&amp;"*📍 Vence:* "&amp;J25,"💻")</f>
        <v>💻</v>
      </c>
      <c r="O25" s="15"/>
      <c r="P25" s="141"/>
      <c r="Q25" s="58"/>
      <c r="R25" s="138">
        <f ca="1">Q25-TODAY()</f>
        <v>-45392</v>
      </c>
    </row>
    <row r="26" spans="1:30" s="111" customFormat="1" x14ac:dyDescent="0.25">
      <c r="C26" s="19"/>
      <c r="D26" s="20"/>
      <c r="E26" s="19"/>
      <c r="F26" s="21"/>
      <c r="G26" s="22"/>
      <c r="H26" s="23"/>
      <c r="I26" s="24"/>
      <c r="J26" s="51"/>
      <c r="K26" s="93">
        <f ca="1">J26-K$12</f>
        <v>-45392</v>
      </c>
      <c r="L26" s="212" t="str">
        <f t="shared" ref="L26:L29" ca="1" si="5">HYPERLINK("https://api.whatsapp.com/send?phone="&amp;E26&amp;"&amp;text="&amp;(IF(K26&lt;=0,"🚨 Hola, *"&amp;D26&amp;".*"&amp;"%0A"&amp;"Su cuenta de Crunchyroll vencio, Porfavor renueve si aun desea el servicio."&amp;"%0A"&amp;"*Tiene todo el dia para realizar el pago de lo contrario al dia siguiente sera suspendida*"&amp;"%0A"&amp;"*GRACIAS*","*MENSAJE RECORDATORIO 🚨*"&amp;"%0A"&amp;"%0A"&amp;"Hola, "&amp;D26&amp;"."&amp;"%0A"&amp;"Te quedan "&amp;K26&amp;" Dias restantes para renovar su cuenta de *CRUNCHYROLL*")),"💰")</f>
        <v>💰</v>
      </c>
      <c r="M26" s="101" t="str">
        <f t="shared" ref="M26:M29" si="6">HYPERLINK("https://api.whatsapp.com/send?phone="&amp;E26&amp;"&amp;text=*🔴 Cambio de contraseña: Crunchyroll*"&amp;"%0A"&amp;"%0A"&amp;"💻 Correo: *"&amp;G26&amp;"*"&amp;"%0A"&amp;"🔐 Nueva Contraseña: *"&amp;H26&amp;"*","🔐")</f>
        <v>🔐</v>
      </c>
      <c r="N26" s="213" t="str">
        <f t="shared" ref="N26:N29" si="7">HYPERLINK("https://api.whatsapp.com/send?phone=51"&amp;E26&amp;"&amp;text=*🔴 CRUNCHYROLL*"&amp;"%0A"&amp;"%0A"&amp;"*📧 Correo:* "&amp;G26&amp;"%0A"&amp;"*🔑 Contraseña:* "&amp;H26&amp;"%0A"&amp;"%0A"&amp;"*🖥 Perfil:* "&amp;D26&amp;"%0A"&amp;"%0A"&amp;"*📍 Vence:* "&amp;J26,"💻")</f>
        <v>💻</v>
      </c>
      <c r="O26" s="22"/>
      <c r="P26" s="24"/>
      <c r="Q26" s="59"/>
      <c r="R26" s="138">
        <f ca="1">Q26-TODAY()</f>
        <v>-45392</v>
      </c>
    </row>
    <row r="27" spans="1:30" s="111" customFormat="1" x14ac:dyDescent="0.25">
      <c r="C27" s="19"/>
      <c r="D27" s="20"/>
      <c r="E27" s="19"/>
      <c r="F27" s="21"/>
      <c r="G27" s="22"/>
      <c r="H27" s="23"/>
      <c r="I27" s="26"/>
      <c r="J27" s="51"/>
      <c r="K27" s="93">
        <f t="shared" ref="K27:K28" ca="1" si="8">J27-K$12</f>
        <v>-45392</v>
      </c>
      <c r="L27" s="212" t="str">
        <f t="shared" ca="1" si="5"/>
        <v>💰</v>
      </c>
      <c r="M27" s="101" t="str">
        <f t="shared" si="6"/>
        <v>🔐</v>
      </c>
      <c r="N27" s="213" t="str">
        <f t="shared" si="7"/>
        <v>💻</v>
      </c>
      <c r="O27" s="22"/>
      <c r="P27" s="24"/>
      <c r="Q27" s="52"/>
      <c r="R27" s="138">
        <f ca="1">Q27-TODAY()</f>
        <v>-45392</v>
      </c>
    </row>
    <row r="28" spans="1:30" s="111" customFormat="1" x14ac:dyDescent="0.25">
      <c r="C28" s="19"/>
      <c r="D28" s="20"/>
      <c r="E28" s="19"/>
      <c r="F28" s="19"/>
      <c r="G28" s="22"/>
      <c r="H28" s="23"/>
      <c r="I28" s="26"/>
      <c r="J28" s="51"/>
      <c r="K28" s="93">
        <f t="shared" ca="1" si="8"/>
        <v>-45392</v>
      </c>
      <c r="L28" s="212" t="str">
        <f t="shared" ca="1" si="5"/>
        <v>💰</v>
      </c>
      <c r="M28" s="101" t="str">
        <f t="shared" si="6"/>
        <v>🔐</v>
      </c>
      <c r="N28" s="213" t="str">
        <f t="shared" si="7"/>
        <v>💻</v>
      </c>
      <c r="O28" s="22"/>
      <c r="P28" s="24"/>
      <c r="Q28" s="52"/>
      <c r="R28" s="138">
        <f ca="1">Q28-TODAY()</f>
        <v>-45392</v>
      </c>
    </row>
    <row r="29" spans="1:30" s="111" customFormat="1" ht="16.5" thickBot="1" x14ac:dyDescent="0.3">
      <c r="C29" s="27"/>
      <c r="D29" s="28"/>
      <c r="E29" s="27"/>
      <c r="F29" s="27"/>
      <c r="G29" s="29"/>
      <c r="H29" s="30"/>
      <c r="I29" s="31"/>
      <c r="J29" s="60"/>
      <c r="K29" s="94">
        <f ca="1">J29-K$12</f>
        <v>-45392</v>
      </c>
      <c r="L29" s="201" t="str">
        <f t="shared" ca="1" si="5"/>
        <v>💰</v>
      </c>
      <c r="M29" s="202" t="str">
        <f t="shared" si="6"/>
        <v>🔐</v>
      </c>
      <c r="N29" s="203" t="str">
        <f t="shared" si="7"/>
        <v>💻</v>
      </c>
      <c r="O29" s="29"/>
      <c r="P29" s="77"/>
      <c r="Q29" s="53"/>
      <c r="R29" s="139">
        <f ca="1">Q29-TODAY()</f>
        <v>-45392</v>
      </c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L11:N11"/>
    <mergeCell ref="L12:N12"/>
    <mergeCell ref="L23:N23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:K19">
    <cfRule type="iconSet" priority="10">
      <iconSet iconSet="3Symbols">
        <cfvo type="percent" val="0"/>
        <cfvo type="num" val="0" gte="0"/>
        <cfvo type="num" val="3"/>
      </iconSet>
    </cfRule>
  </conditionalFormatting>
  <conditionalFormatting sqref="K21">
    <cfRule type="iconSet" priority="8">
      <iconSet iconSet="3Symbols">
        <cfvo type="percent" val="0"/>
        <cfvo type="num" val="0" gte="0"/>
        <cfvo type="num" val="3"/>
      </iconSet>
    </cfRule>
  </conditionalFormatting>
  <conditionalFormatting sqref="K22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K25:K29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L21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L22:N22 L14:N19">
    <cfRule type="iconSet" priority="13">
      <iconSet iconSet="3Symbols">
        <cfvo type="percent" val="0"/>
        <cfvo type="num" val="0" gte="0"/>
        <cfvo type="num" val="3"/>
      </iconSet>
    </cfRule>
  </conditionalFormatting>
  <conditionalFormatting sqref="L25:N29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M21:N21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R14:R18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R21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25:R29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BE86AE4C-8C77-46C2-BF82-D548E1990FD8}"/>
    <hyperlink ref="G21" r:id="rId2" xr:uid="{14872434-DDDD-4607-BBFA-5DC6117871AD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277D-591A-459D-9E3F-421EAD47FC36}">
  <sheetPr>
    <tabColor theme="1"/>
  </sheetPr>
  <dimension ref="A1:AD404"/>
  <sheetViews>
    <sheetView topLeftCell="B8" zoomScale="86" zoomScaleNormal="86" workbookViewId="0">
      <selection activeCell="S21" sqref="S21"/>
    </sheetView>
  </sheetViews>
  <sheetFormatPr baseColWidth="10" defaultRowHeight="15.75" x14ac:dyDescent="0.25"/>
  <cols>
    <col min="1" max="2" width="11.42578125" style="106"/>
    <col min="3" max="4" width="10.5703125" style="106" customWidth="1"/>
    <col min="5" max="5" width="12.85546875" style="106" customWidth="1"/>
    <col min="6" max="6" width="13.7109375" style="106" customWidth="1"/>
    <col min="7" max="7" width="29.85546875" style="106" customWidth="1"/>
    <col min="8" max="8" width="11.85546875" style="106" customWidth="1"/>
    <col min="9" max="9" width="9.85546875" style="115" customWidth="1"/>
    <col min="10" max="10" width="13.42578125" style="116" customWidth="1"/>
    <col min="11" max="11" width="9.85546875" style="106" customWidth="1"/>
    <col min="12" max="12" width="7.7109375" style="106" customWidth="1"/>
    <col min="13" max="13" width="6.7109375" style="106" customWidth="1"/>
    <col min="14" max="14" width="9.28515625" style="106" customWidth="1"/>
    <col min="15" max="15" width="14.140625" style="106" customWidth="1"/>
    <col min="16" max="16" width="10.5703125" style="106" customWidth="1"/>
    <col min="17" max="16384" width="11.42578125" style="106"/>
  </cols>
  <sheetData>
    <row r="1" spans="1:30" s="105" customFormat="1" x14ac:dyDescent="0.25">
      <c r="A1" s="1"/>
      <c r="B1" s="1"/>
      <c r="C1" s="102"/>
      <c r="D1" s="226"/>
      <c r="E1" s="226"/>
      <c r="F1" s="1"/>
      <c r="G1" s="1"/>
      <c r="H1" s="1"/>
      <c r="I1" s="2"/>
      <c r="J1" s="3"/>
      <c r="K1" s="104"/>
      <c r="L1" s="104"/>
      <c r="M1" s="104"/>
      <c r="N1" s="1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5"/>
    </row>
    <row r="2" spans="1:30" s="105" customFormat="1" x14ac:dyDescent="0.25">
      <c r="A2" s="1"/>
      <c r="B2" s="1"/>
      <c r="C2" s="102"/>
      <c r="D2" s="226"/>
      <c r="E2" s="226"/>
      <c r="F2" s="1"/>
      <c r="G2" s="1"/>
      <c r="H2" s="1"/>
      <c r="I2" s="2"/>
      <c r="J2" s="3"/>
      <c r="K2" s="1"/>
      <c r="L2" s="1"/>
      <c r="M2" s="1"/>
      <c r="N2" s="1"/>
      <c r="O2" s="1"/>
      <c r="P2" s="1"/>
      <c r="Q2" s="239"/>
      <c r="R2" s="102"/>
      <c r="S2" s="226"/>
      <c r="T2" s="226"/>
      <c r="U2" s="229"/>
      <c r="V2" s="1"/>
      <c r="W2" s="102"/>
      <c r="X2" s="226"/>
      <c r="Y2" s="226"/>
      <c r="Z2" s="1"/>
      <c r="AA2" s="1"/>
      <c r="AB2" s="1"/>
      <c r="AC2" s="1"/>
      <c r="AD2" s="5"/>
    </row>
    <row r="3" spans="1:30" s="105" customFormat="1" x14ac:dyDescent="0.25">
      <c r="A3" s="1"/>
      <c r="B3" s="1"/>
      <c r="C3" s="102"/>
      <c r="D3" s="103"/>
      <c r="E3" s="103"/>
      <c r="F3" s="1"/>
      <c r="G3" s="1"/>
      <c r="H3" s="1"/>
      <c r="I3" s="2"/>
      <c r="J3" s="3"/>
      <c r="K3" s="1"/>
      <c r="L3" s="1"/>
      <c r="M3" s="1"/>
      <c r="N3" s="1"/>
      <c r="O3" s="1"/>
      <c r="P3" s="1"/>
      <c r="Q3" s="239"/>
      <c r="R3" s="102"/>
      <c r="S3" s="103"/>
      <c r="T3" s="103"/>
      <c r="U3" s="229"/>
      <c r="V3" s="1"/>
      <c r="W3" s="102"/>
      <c r="X3" s="103"/>
      <c r="Y3" s="103"/>
      <c r="Z3" s="1"/>
      <c r="AA3" s="1"/>
      <c r="AB3" s="1"/>
      <c r="AC3" s="1"/>
      <c r="AD3" s="5"/>
    </row>
    <row r="4" spans="1:30" s="105" customFormat="1" x14ac:dyDescent="0.25">
      <c r="A4" s="1"/>
      <c r="B4" s="1"/>
      <c r="C4" s="102"/>
      <c r="D4" s="103"/>
      <c r="E4" s="103"/>
      <c r="F4" s="1"/>
      <c r="G4" s="1"/>
      <c r="H4" s="1"/>
      <c r="I4" s="2"/>
      <c r="J4" s="3"/>
      <c r="K4" s="1"/>
      <c r="L4" s="1"/>
      <c r="M4" s="1"/>
      <c r="N4" s="1"/>
      <c r="O4" s="1"/>
      <c r="P4" s="1"/>
      <c r="Q4" s="239"/>
      <c r="R4" s="102"/>
      <c r="S4" s="103"/>
      <c r="T4" s="103"/>
      <c r="U4" s="229"/>
      <c r="V4" s="1"/>
      <c r="W4" s="102"/>
      <c r="X4" s="103"/>
      <c r="Y4" s="103"/>
      <c r="Z4" s="1"/>
      <c r="AA4" s="1"/>
      <c r="AB4" s="1"/>
      <c r="AC4" s="1"/>
      <c r="AD4" s="5"/>
    </row>
    <row r="5" spans="1:30" s="105" customFormat="1" x14ac:dyDescent="0.25">
      <c r="A5" s="1"/>
      <c r="B5" s="1"/>
      <c r="C5" s="102"/>
      <c r="D5" s="103"/>
      <c r="E5" s="103"/>
      <c r="F5" s="106"/>
      <c r="G5" s="1"/>
      <c r="H5" s="1"/>
      <c r="I5" s="2"/>
      <c r="J5" s="3"/>
      <c r="K5" s="1"/>
      <c r="L5" s="1"/>
      <c r="M5" s="1"/>
      <c r="N5" s="1"/>
      <c r="O5" s="1"/>
      <c r="P5" s="1"/>
      <c r="Q5" s="239"/>
      <c r="R5" s="102"/>
      <c r="S5" s="103"/>
      <c r="T5" s="103"/>
      <c r="U5" s="229"/>
      <c r="V5" s="1"/>
      <c r="W5" s="102"/>
      <c r="X5" s="103"/>
      <c r="Y5" s="103"/>
      <c r="Z5" s="1"/>
      <c r="AA5" s="1"/>
      <c r="AB5" s="1"/>
      <c r="AC5" s="1"/>
      <c r="AD5" s="5"/>
    </row>
    <row r="6" spans="1:30" s="105" customFormat="1" x14ac:dyDescent="0.25">
      <c r="A6" s="1"/>
      <c r="B6" s="1"/>
      <c r="C6" s="102"/>
      <c r="D6" s="103"/>
      <c r="E6" s="106"/>
      <c r="F6" s="1"/>
      <c r="G6" s="1"/>
      <c r="H6" s="1"/>
      <c r="I6" s="2"/>
      <c r="J6" s="3"/>
      <c r="K6" s="1"/>
      <c r="L6" s="1"/>
      <c r="M6" s="1"/>
      <c r="N6" s="1"/>
      <c r="O6" s="1"/>
      <c r="P6" s="1"/>
      <c r="Q6" s="239"/>
      <c r="R6" s="102"/>
      <c r="S6" s="103"/>
      <c r="T6" s="103"/>
      <c r="U6" s="229"/>
      <c r="V6" s="1"/>
      <c r="W6" s="102"/>
      <c r="X6" s="103"/>
      <c r="Y6" s="103"/>
      <c r="Z6" s="1"/>
      <c r="AA6" s="1"/>
      <c r="AB6" s="1"/>
      <c r="AC6" s="1"/>
      <c r="AD6" s="5"/>
    </row>
    <row r="7" spans="1:30" s="105" customFormat="1" x14ac:dyDescent="0.25">
      <c r="A7" s="1"/>
      <c r="B7" s="1"/>
      <c r="C7" s="102"/>
      <c r="D7" s="103"/>
      <c r="E7" s="103"/>
      <c r="F7" s="106"/>
      <c r="G7" s="1"/>
      <c r="H7" s="1"/>
      <c r="I7" s="2"/>
      <c r="J7" s="3"/>
      <c r="K7" s="1"/>
      <c r="L7" s="1"/>
      <c r="M7" s="1"/>
      <c r="N7" s="1"/>
      <c r="O7" s="1"/>
      <c r="P7" s="1"/>
      <c r="Q7" s="239"/>
      <c r="R7" s="102"/>
      <c r="S7" s="103"/>
      <c r="T7" s="103"/>
      <c r="U7" s="229"/>
      <c r="V7" s="1"/>
      <c r="W7" s="102"/>
      <c r="X7" s="103"/>
      <c r="Y7" s="103"/>
      <c r="Z7" s="1"/>
      <c r="AA7" s="1"/>
      <c r="AB7" s="1"/>
      <c r="AC7" s="1"/>
      <c r="AD7" s="5"/>
    </row>
    <row r="8" spans="1:30" s="105" customFormat="1" x14ac:dyDescent="0.25">
      <c r="A8" s="1"/>
      <c r="B8" s="1"/>
      <c r="C8" s="102"/>
      <c r="D8" s="103"/>
      <c r="E8" s="106"/>
      <c r="F8" s="1"/>
      <c r="G8" s="1"/>
      <c r="H8" s="1"/>
      <c r="I8" s="2"/>
      <c r="J8" s="3"/>
      <c r="K8" s="1"/>
      <c r="O8" s="1"/>
      <c r="P8" s="1"/>
      <c r="Q8" s="239"/>
      <c r="R8" s="102"/>
      <c r="S8" s="103"/>
      <c r="T8" s="103"/>
      <c r="U8" s="229"/>
      <c r="V8" s="1"/>
      <c r="W8" s="102"/>
      <c r="X8" s="103"/>
      <c r="Y8" s="103"/>
      <c r="Z8" s="1"/>
      <c r="AA8" s="1"/>
      <c r="AB8" s="1"/>
      <c r="AC8" s="1"/>
      <c r="AD8" s="5"/>
    </row>
    <row r="9" spans="1:30" s="105" customFormat="1" ht="14.25" customHeight="1" x14ac:dyDescent="0.25">
      <c r="A9" s="1"/>
      <c r="B9" s="1"/>
      <c r="C9" s="10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1"/>
      <c r="Q9" s="229"/>
      <c r="R9" s="102"/>
      <c r="S9" s="228"/>
      <c r="T9" s="228"/>
      <c r="U9" s="229"/>
      <c r="V9" s="1"/>
      <c r="W9" s="102"/>
      <c r="X9" s="226"/>
      <c r="Y9" s="226"/>
      <c r="Z9" s="1"/>
      <c r="AA9" s="1"/>
      <c r="AB9" s="1"/>
      <c r="AC9" s="1"/>
      <c r="AD9" s="5"/>
    </row>
    <row r="10" spans="1:30" s="105" customFormat="1" ht="14.25" customHeight="1" thickBot="1" x14ac:dyDescent="0.3">
      <c r="A10" s="1"/>
      <c r="B10" s="1"/>
      <c r="C10" s="104"/>
      <c r="D10" s="1"/>
      <c r="E10" s="1"/>
      <c r="F10" s="1"/>
      <c r="G10" s="1"/>
      <c r="H10" s="1"/>
      <c r="I10" s="2"/>
      <c r="J10" s="3"/>
      <c r="K10" s="42"/>
      <c r="L10" s="42"/>
      <c r="M10" s="42"/>
      <c r="N10" s="4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</row>
    <row r="11" spans="1:30" s="105" customFormat="1" ht="15.75" customHeight="1" thickBot="1" x14ac:dyDescent="0.3">
      <c r="A11" s="1"/>
      <c r="B11" s="1"/>
      <c r="C11" s="1"/>
      <c r="D11" s="1"/>
      <c r="E11" s="1"/>
      <c r="F11" s="1"/>
      <c r="G11" s="1"/>
      <c r="H11" s="1"/>
      <c r="I11" s="2"/>
      <c r="J11" s="3"/>
      <c r="K11" s="4"/>
      <c r="L11" s="236" t="str">
        <f>"GANANCIAS: "&amp;SUM(I14:I866)</f>
        <v>GANANCIAS: 56</v>
      </c>
      <c r="M11" s="237"/>
      <c r="N11" s="23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</row>
    <row r="12" spans="1:30" s="105" customFormat="1" ht="16.5" customHeight="1" thickBot="1" x14ac:dyDescent="0.3">
      <c r="A12" s="1"/>
      <c r="B12" s="1"/>
      <c r="C12" s="5"/>
      <c r="D12" s="5"/>
      <c r="E12" s="5"/>
      <c r="F12" s="5"/>
      <c r="G12" s="5"/>
      <c r="H12" s="5"/>
      <c r="I12" s="6"/>
      <c r="J12" s="7"/>
      <c r="K12" s="8">
        <f ca="1">TODAY()</f>
        <v>45392</v>
      </c>
      <c r="L12" s="230" t="s">
        <v>9</v>
      </c>
      <c r="M12" s="231"/>
      <c r="N12" s="235"/>
      <c r="O12" s="130"/>
      <c r="P12" s="221" t="s">
        <v>47</v>
      </c>
      <c r="Q12" s="221"/>
      <c r="R12" s="222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05" customFormat="1" ht="16.5" thickBot="1" x14ac:dyDescent="0.3">
      <c r="A13" s="1"/>
      <c r="B13" s="1"/>
      <c r="C13" s="127" t="s">
        <v>11</v>
      </c>
      <c r="D13" s="127" t="s">
        <v>0</v>
      </c>
      <c r="E13" s="127" t="s">
        <v>1</v>
      </c>
      <c r="F13" s="127" t="s">
        <v>50</v>
      </c>
      <c r="G13" s="127" t="s">
        <v>2</v>
      </c>
      <c r="H13" s="127" t="s">
        <v>12</v>
      </c>
      <c r="I13" s="128" t="s">
        <v>3</v>
      </c>
      <c r="J13" s="129" t="s">
        <v>4</v>
      </c>
      <c r="K13" s="130" t="s">
        <v>5</v>
      </c>
      <c r="L13" s="95" t="s">
        <v>6</v>
      </c>
      <c r="M13" s="95" t="s">
        <v>7</v>
      </c>
      <c r="N13" s="95" t="s">
        <v>8</v>
      </c>
      <c r="O13" s="127" t="s">
        <v>15</v>
      </c>
      <c r="P13" s="222" t="s">
        <v>45</v>
      </c>
      <c r="Q13" s="129" t="s">
        <v>4</v>
      </c>
      <c r="R13" s="127" t="s"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05" customFormat="1" ht="13.5" customHeight="1" x14ac:dyDescent="0.25">
      <c r="A14" s="1"/>
      <c r="B14" s="1"/>
      <c r="C14" s="13" t="s">
        <v>22</v>
      </c>
      <c r="D14" s="14" t="s">
        <v>21</v>
      </c>
      <c r="E14" s="13">
        <v>945174408</v>
      </c>
      <c r="F14" s="13" t="s">
        <v>26</v>
      </c>
      <c r="G14" s="15" t="s">
        <v>41</v>
      </c>
      <c r="H14" s="16" t="s">
        <v>24</v>
      </c>
      <c r="I14" s="17">
        <v>12</v>
      </c>
      <c r="J14" s="49" t="s">
        <v>17</v>
      </c>
      <c r="K14" s="92">
        <f ca="1">J14-K$12</f>
        <v>-193</v>
      </c>
      <c r="L14" s="131" t="str">
        <f ca="1">HYPERLINK("https://api.whatsapp.com/send?phone="&amp;E14&amp;"&amp;text="&amp;(IF(K14&lt;=0,"🚨 Hola, *"&amp;D14&amp;".*"&amp;"%0A"&amp;"Su cuenta de Apple Tv vencio, Porfavor renueve si aun desea el servicio."&amp;"%0A"&amp;"*Tiene todo el dia para realizar el pago de lo contrario al dia siguiente sera suspendida*"&amp;"%0A"&amp;"*GRACIAS*","*MENSAJE RECORDATORIO 🚨*"&amp;"%0A"&amp;"%0A"&amp;"Hola, "&amp;D14&amp;"."&amp;"%0A"&amp;"Te quedan "&amp;K14&amp;" Dias restantes para renovar su cuenta de *APPLE TV*")),"💰")</f>
        <v>💰</v>
      </c>
      <c r="M14" s="101" t="str">
        <f>HYPERLINK("https://api.whatsapp.com/send?phone="&amp;E14&amp;"&amp;text=*🔴 Cambio de contraseña: Apple tv*"&amp;"%0A"&amp;"%0A"&amp;"💻 Correo: *"&amp;G14&amp;"*"&amp;"%0A"&amp;"🔐 Nueva Contraseña: *"&amp;H14&amp;"*","🔐")</f>
        <v>🔐</v>
      </c>
      <c r="N14" s="101" t="str">
        <f>HYPERLINK("https://api.whatsapp.com/send?phone=51"&amp;E14&amp;"&amp;text=*🔴 APPLE TV + MLS*"&amp;"%0A"&amp;"%0A"&amp;"*📧 Correo:* "&amp;G14&amp;"%0A"&amp;"*🔑 Contraseña:* "&amp;H14&amp;"%0A"&amp;"%0A"&amp;"*🖥 Perfil:* "&amp;D14&amp;"%0A"&amp;"%0A"&amp;"*📍 Vence:* "&amp;J14,"💻")</f>
        <v>💻</v>
      </c>
      <c r="O14" s="171" t="s">
        <v>22</v>
      </c>
      <c r="P14" s="172">
        <v>8</v>
      </c>
      <c r="Q14" s="173" t="s">
        <v>17</v>
      </c>
      <c r="R14" s="138">
        <f ca="1">Q14-TODAY()</f>
        <v>-193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05" customFormat="1" ht="15" customHeight="1" x14ac:dyDescent="0.25">
      <c r="A15" s="1"/>
      <c r="B15" s="1"/>
      <c r="C15" s="19"/>
      <c r="D15" s="20"/>
      <c r="E15" s="19"/>
      <c r="F15" s="21"/>
      <c r="G15" s="22"/>
      <c r="H15" s="23"/>
      <c r="I15" s="24">
        <v>12</v>
      </c>
      <c r="J15" s="51"/>
      <c r="K15" s="93">
        <f ca="1">J15-K$12</f>
        <v>-45392</v>
      </c>
      <c r="L15" s="131" t="str">
        <f t="shared" ref="L15:L16" ca="1" si="0">HYPERLINK("https://api.whatsapp.com/send?phone="&amp;E15&amp;"&amp;text="&amp;(IF(K15&lt;=0,"🚨 Hola, *"&amp;D15&amp;".*"&amp;"%0A"&amp;"Su cuenta de Apple Tv vencio, Porfavor renueve si aun desea el servicio."&amp;"%0A"&amp;"*Tiene todo el dia para realizar el pago de lo contrario al dia siguiente sera suspendida*"&amp;"%0A"&amp;"*GRACIAS*","*MENSAJE RECORDATORIO 🚨*"&amp;"%0A"&amp;"%0A"&amp;"Hola, "&amp;D15&amp;"."&amp;"%0A"&amp;"Te quedan "&amp;K15&amp;" Dias restantes para renovar su cuenta de *APPLE TV*")),"💰")</f>
        <v>💰</v>
      </c>
      <c r="M15" s="101" t="str">
        <f t="shared" ref="M15:M16" si="1">HYPERLINK("https://api.whatsapp.com/send?phone="&amp;E15&amp;"&amp;text=*🔴 Cambio de contraseña: Apple tv*"&amp;"%0A"&amp;"%0A"&amp;"💻 Correo: *"&amp;G15&amp;"*"&amp;"%0A"&amp;"🔐 Nueva Contraseña: *"&amp;H15&amp;"*","🔐")</f>
        <v>🔐</v>
      </c>
      <c r="N15" s="101" t="str">
        <f t="shared" ref="N15:N16" si="2">HYPERLINK("https://api.whatsapp.com/send?phone=51"&amp;E15&amp;"&amp;text=*🔴 APPLE TV + MLS*"&amp;"%0A"&amp;"%0A"&amp;"*📧 Correo:* "&amp;G15&amp;"%0A"&amp;"*🔑 Contraseña:* "&amp;H15&amp;"%0A"&amp;"%0A"&amp;"*🖥 Perfil:* "&amp;D15&amp;"%0A"&amp;"%0A"&amp;"*📍 Vence:* "&amp;J15,"💻")</f>
        <v>💻</v>
      </c>
      <c r="O15" s="22"/>
      <c r="P15" s="24"/>
      <c r="Q15" s="59"/>
      <c r="R15" s="138">
        <f ca="1">Q15-TODAY()</f>
        <v>-45392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05" customFormat="1" ht="15" customHeight="1" thickBot="1" x14ac:dyDescent="0.3">
      <c r="A16" s="1"/>
      <c r="B16" s="1"/>
      <c r="C16" s="27"/>
      <c r="D16" s="28"/>
      <c r="E16" s="27"/>
      <c r="F16" s="76"/>
      <c r="G16" s="29"/>
      <c r="H16" s="30"/>
      <c r="I16" s="31">
        <v>12</v>
      </c>
      <c r="J16" s="60"/>
      <c r="K16" s="94">
        <f t="shared" ref="K16" ca="1" si="3">J16-K$12</f>
        <v>-45392</v>
      </c>
      <c r="L16" s="131" t="str">
        <f t="shared" ca="1" si="0"/>
        <v>💰</v>
      </c>
      <c r="M16" s="101" t="str">
        <f t="shared" si="1"/>
        <v>🔐</v>
      </c>
      <c r="N16" s="101" t="str">
        <f t="shared" si="2"/>
        <v>💻</v>
      </c>
      <c r="O16" s="29"/>
      <c r="P16" s="77"/>
      <c r="Q16" s="53"/>
      <c r="R16" s="139">
        <f ca="1">Q16-TODAY()</f>
        <v>-45392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05" customFormat="1" ht="1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45"/>
      <c r="Q17" s="108"/>
      <c r="R17" s="3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05" customFormat="1" ht="15" customHeight="1" thickBot="1" x14ac:dyDescent="0.3">
      <c r="A18" s="1"/>
      <c r="B18" s="1"/>
      <c r="C18" s="127" t="s">
        <v>11</v>
      </c>
      <c r="D18" s="127" t="s">
        <v>0</v>
      </c>
      <c r="E18" s="127" t="s">
        <v>1</v>
      </c>
      <c r="F18" s="127" t="s">
        <v>50</v>
      </c>
      <c r="G18" s="127" t="s">
        <v>2</v>
      </c>
      <c r="H18" s="127" t="s">
        <v>12</v>
      </c>
      <c r="I18" s="128" t="s">
        <v>3</v>
      </c>
      <c r="J18" s="129" t="s">
        <v>4</v>
      </c>
      <c r="K18" s="130" t="s">
        <v>5</v>
      </c>
      <c r="L18" s="95" t="s">
        <v>6</v>
      </c>
      <c r="M18" s="95" t="s">
        <v>7</v>
      </c>
      <c r="N18" s="95" t="s">
        <v>8</v>
      </c>
      <c r="O18" s="127" t="s">
        <v>15</v>
      </c>
      <c r="P18" s="222" t="s">
        <v>45</v>
      </c>
      <c r="Q18" s="129" t="s">
        <v>4</v>
      </c>
      <c r="R18" s="127" t="s">
        <v>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05" customFormat="1" ht="15" customHeight="1" thickBot="1" x14ac:dyDescent="0.3">
      <c r="A19" s="1"/>
      <c r="B19" s="1"/>
      <c r="C19" s="32" t="s">
        <v>22</v>
      </c>
      <c r="D19" s="33" t="s">
        <v>21</v>
      </c>
      <c r="E19" s="32">
        <v>945174408</v>
      </c>
      <c r="F19" s="32" t="s">
        <v>26</v>
      </c>
      <c r="G19" s="34" t="s">
        <v>41</v>
      </c>
      <c r="H19" s="35" t="s">
        <v>24</v>
      </c>
      <c r="I19" s="36">
        <v>20</v>
      </c>
      <c r="J19" s="50" t="s">
        <v>44</v>
      </c>
      <c r="K19" s="96">
        <f ca="1">J19-K$12</f>
        <v>-224</v>
      </c>
      <c r="L19" s="131" t="str">
        <f t="shared" ref="L19" ca="1" si="4">HYPERLINK("https://api.whatsapp.com/send?phone="&amp;E19&amp;"&amp;text="&amp;(IF(K19&lt;=0,"🚨 Hola, *"&amp;D19&amp;".*"&amp;"%0A"&amp;"Su cuenta de Apple Tv vencio, Porfavor renueve si aun desea el servicio."&amp;"%0A"&amp;"*Tiene todo el dia para realizar el pago de lo contrario al dia siguiente sera suspendida*"&amp;"%0A"&amp;"*GRACIAS*","*MENSAJE RECORDATORIO 🚨*"&amp;"%0A"&amp;"%0A"&amp;"Hola, "&amp;D19&amp;"."&amp;"%0A"&amp;"Te quedan "&amp;K19&amp;" Dias restantes para renovar su cuenta de *APPLE TV*")),"💰")</f>
        <v>💰</v>
      </c>
      <c r="M19" s="101" t="str">
        <f>HYPERLINK("https://api.whatsapp.com/send?phone="&amp;E19&amp;"&amp;text=*🔴 Cambio de contraseña: Apple tv*"&amp;"%0A"&amp;"%0A"&amp;"💻 Correo: *"&amp;G19&amp;"*"&amp;"%0A"&amp;"🔐 Nueva Contraseña: *"&amp;H19&amp;"*","🔐")</f>
        <v>🔐</v>
      </c>
      <c r="N19" s="101" t="str">
        <f>HYPERLINK("https://api.whatsapp.com/send?phone=51"&amp;E19&amp;"&amp;text=*🔴 APPLE TV - MLS COMPLETO*"&amp;"%0A"&amp;"%0A"&amp;"*📧 Correo:* "&amp;G19&amp;"%0A"&amp;"*🔑 Contraseña:* "&amp;H19&amp;"%0A"&amp;"%0A"&amp;"*🖥 Perfil:* "&amp;D19&amp;"%0A"&amp;"%0A"&amp;"*📍 Vence:* "&amp;J19,"💻")</f>
        <v>💻</v>
      </c>
      <c r="O19" s="174" t="s">
        <v>22</v>
      </c>
      <c r="P19" s="175">
        <v>8</v>
      </c>
      <c r="Q19" s="176" t="s">
        <v>17</v>
      </c>
      <c r="R19" s="139">
        <f ca="1">Q19-TODAY()</f>
        <v>-193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05" customFormat="1" ht="15" customHeight="1" thickBot="1" x14ac:dyDescent="0.3">
      <c r="A20" s="1"/>
      <c r="B20" s="1"/>
      <c r="C20" s="42"/>
      <c r="D20" s="42"/>
      <c r="E20" s="42"/>
      <c r="F20" s="42"/>
      <c r="G20" s="42"/>
      <c r="H20" s="42"/>
      <c r="I20" s="42"/>
      <c r="J20" s="42"/>
      <c r="K20" s="47"/>
      <c r="L20" s="48"/>
      <c r="M20" s="48"/>
      <c r="N20" s="48"/>
      <c r="O20" s="110"/>
      <c r="P20" s="145"/>
      <c r="Q20" s="146"/>
      <c r="R20" s="3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05" customFormat="1" ht="15" customHeight="1" thickBot="1" x14ac:dyDescent="0.3">
      <c r="A21" s="1"/>
      <c r="B21" s="1"/>
      <c r="C21" s="5"/>
      <c r="D21" s="5"/>
      <c r="E21" s="5"/>
      <c r="F21" s="5"/>
      <c r="G21" s="5"/>
      <c r="H21" s="5"/>
      <c r="I21" s="6"/>
      <c r="J21" s="7"/>
      <c r="K21" s="8">
        <f ca="1">TODAY()</f>
        <v>45392</v>
      </c>
      <c r="L21" s="230" t="s">
        <v>9</v>
      </c>
      <c r="M21" s="231"/>
      <c r="N21" s="235"/>
      <c r="O21" s="130"/>
      <c r="P21" s="221" t="s">
        <v>47</v>
      </c>
      <c r="Q21" s="221"/>
      <c r="R21" s="222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05" customFormat="1" ht="15" customHeight="1" thickBot="1" x14ac:dyDescent="0.3">
      <c r="A22" s="1"/>
      <c r="B22" s="1"/>
      <c r="C22" s="127" t="s">
        <v>11</v>
      </c>
      <c r="D22" s="127" t="s">
        <v>0</v>
      </c>
      <c r="E22" s="127" t="s">
        <v>1</v>
      </c>
      <c r="F22" s="127" t="s">
        <v>50</v>
      </c>
      <c r="G22" s="127" t="s">
        <v>2</v>
      </c>
      <c r="H22" s="127" t="s">
        <v>12</v>
      </c>
      <c r="I22" s="128" t="s">
        <v>3</v>
      </c>
      <c r="J22" s="129" t="s">
        <v>4</v>
      </c>
      <c r="K22" s="130" t="s">
        <v>5</v>
      </c>
      <c r="L22" s="95" t="s">
        <v>6</v>
      </c>
      <c r="M22" s="95" t="s">
        <v>7</v>
      </c>
      <c r="N22" s="95" t="s">
        <v>8</v>
      </c>
      <c r="O22" s="127" t="s">
        <v>15</v>
      </c>
      <c r="P22" s="222" t="s">
        <v>45</v>
      </c>
      <c r="Q22" s="129" t="s">
        <v>4</v>
      </c>
      <c r="R22" s="127" t="s"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05" customFormat="1" ht="15.75" customHeight="1" x14ac:dyDescent="0.25">
      <c r="A23" s="1"/>
      <c r="B23" s="1"/>
      <c r="C23" s="13"/>
      <c r="D23" s="14"/>
      <c r="E23" s="13"/>
      <c r="F23" s="13"/>
      <c r="G23" s="15"/>
      <c r="H23" s="16"/>
      <c r="I23" s="17"/>
      <c r="J23" s="49"/>
      <c r="K23" s="92">
        <f ca="1">J23-K$12</f>
        <v>-45392</v>
      </c>
      <c r="L23" s="131" t="str">
        <f ca="1">HYPERLINK("https://api.whatsapp.com/send?phone="&amp;E23&amp;"&amp;text="&amp;(IF(K23&lt;=0,"🚨 Hola, *"&amp;D23&amp;".*"&amp;"%0A"&amp;"Su cuenta de Apple Tv vencio, Porfavor renueve si aun desea el servicio."&amp;"%0A"&amp;"*Tiene todo el dia para realizar el pago de lo contrario al dia siguiente sera suspendida*"&amp;"%0A"&amp;"*GRACIAS*","*MENSAJE RECORDATORIO 🚨*"&amp;"%0A"&amp;"%0A"&amp;"Hola, "&amp;D23&amp;"."&amp;"%0A"&amp;"Te quedan "&amp;K23&amp;" Dias restantes para renovar su cuenta de *APPLE TV*")),"💰")</f>
        <v>💰</v>
      </c>
      <c r="M23" s="101" t="str">
        <f>HYPERLINK("https://api.whatsapp.com/send?phone="&amp;E23&amp;"&amp;text=*🔴 Cambio de contraseña: Apple tv*"&amp;"%0A"&amp;"%0A"&amp;"💻 Correo: *"&amp;G23&amp;"*"&amp;"%0A"&amp;"🔐 Nueva Contraseña: *"&amp;H23&amp;"*","🔐")</f>
        <v>🔐</v>
      </c>
      <c r="N23" s="101" t="str">
        <f>HYPERLINK("https://api.whatsapp.com/send?phone=51"&amp;E23&amp;"&amp;text=*🔴 APPLE TV + MLS*"&amp;"%0A"&amp;"%0A"&amp;"*📧 Correo:* "&amp;G23&amp;"%0A"&amp;"*🔑 Contraseña:* "&amp;H23&amp;"%0A"&amp;"%0A"&amp;"*🖥 Perfil:* "&amp;D23&amp;"%0A"&amp;"%0A"&amp;"*📍 Vence:* "&amp;J23,"💻")</f>
        <v>💻</v>
      </c>
      <c r="O23" s="171"/>
      <c r="P23" s="172"/>
      <c r="Q23" s="173"/>
      <c r="R23" s="138">
        <f ca="1">Q23-TODAY()</f>
        <v>-45392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11" customFormat="1" x14ac:dyDescent="0.25">
      <c r="C24" s="19"/>
      <c r="D24" s="20"/>
      <c r="E24" s="19"/>
      <c r="F24" s="21"/>
      <c r="G24" s="22"/>
      <c r="H24" s="23"/>
      <c r="I24" s="24"/>
      <c r="J24" s="51"/>
      <c r="K24" s="93">
        <f ca="1">J24-K$12</f>
        <v>-45392</v>
      </c>
      <c r="L24" s="131" t="str">
        <f t="shared" ref="L24:L25" ca="1" si="5">HYPERLINK("https://api.whatsapp.com/send?phone="&amp;E24&amp;"&amp;text="&amp;(IF(K24&lt;=0,"🚨 Hola, *"&amp;D24&amp;".*"&amp;"%0A"&amp;"Su cuenta de Apple Tv vencio, Porfavor renueve si aun desea el servicio."&amp;"%0A"&amp;"*Tiene todo el dia para realizar el pago de lo contrario al dia siguiente sera suspendida*"&amp;"%0A"&amp;"*GRACIAS*","*MENSAJE RECORDATORIO 🚨*"&amp;"%0A"&amp;"%0A"&amp;"Hola, "&amp;D24&amp;"."&amp;"%0A"&amp;"Te quedan "&amp;K24&amp;" Dias restantes para renovar su cuenta de *APPLE TV*")),"💰")</f>
        <v>💰</v>
      </c>
      <c r="M24" s="101" t="str">
        <f t="shared" ref="M24:M25" si="6">HYPERLINK("https://api.whatsapp.com/send?phone="&amp;E24&amp;"&amp;text=*🔴 Cambio de contraseña: Apple tv*"&amp;"%0A"&amp;"%0A"&amp;"💻 Correo: *"&amp;G24&amp;"*"&amp;"%0A"&amp;"🔐 Nueva Contraseña: *"&amp;H24&amp;"*","🔐")</f>
        <v>🔐</v>
      </c>
      <c r="N24" s="101" t="str">
        <f t="shared" ref="N24:N25" si="7">HYPERLINK("https://api.whatsapp.com/send?phone=51"&amp;E24&amp;"&amp;text=*🔴 APPLE TV + MLS*"&amp;"%0A"&amp;"%0A"&amp;"*📧 Correo:* "&amp;G24&amp;"%0A"&amp;"*🔑 Contraseña:* "&amp;H24&amp;"%0A"&amp;"%0A"&amp;"*🖥 Perfil:* "&amp;D24&amp;"%0A"&amp;"%0A"&amp;"*📍 Vence:* "&amp;J24,"💻")</f>
        <v>💻</v>
      </c>
      <c r="O24" s="22"/>
      <c r="P24" s="24"/>
      <c r="Q24" s="59"/>
      <c r="R24" s="138">
        <f ca="1">Q24-TODAY()</f>
        <v>-45392</v>
      </c>
    </row>
    <row r="25" spans="1:30" s="111" customFormat="1" ht="16.5" thickBot="1" x14ac:dyDescent="0.3">
      <c r="C25" s="27"/>
      <c r="D25" s="28"/>
      <c r="E25" s="27"/>
      <c r="F25" s="76"/>
      <c r="G25" s="29"/>
      <c r="H25" s="30"/>
      <c r="I25" s="31"/>
      <c r="J25" s="60"/>
      <c r="K25" s="94">
        <f t="shared" ref="K25" ca="1" si="8">J25-K$12</f>
        <v>-45392</v>
      </c>
      <c r="L25" s="131" t="str">
        <f t="shared" ca="1" si="5"/>
        <v>💰</v>
      </c>
      <c r="M25" s="101" t="str">
        <f t="shared" si="6"/>
        <v>🔐</v>
      </c>
      <c r="N25" s="101" t="str">
        <f t="shared" si="7"/>
        <v>💻</v>
      </c>
      <c r="O25" s="29"/>
      <c r="P25" s="77"/>
      <c r="Q25" s="53"/>
      <c r="R25" s="139">
        <f ca="1">Q25-TODAY()</f>
        <v>-45392</v>
      </c>
    </row>
    <row r="26" spans="1:30" s="111" customFormat="1" x14ac:dyDescent="0.25">
      <c r="C26" s="42"/>
      <c r="D26" s="42"/>
      <c r="E26" s="42"/>
      <c r="F26" s="43"/>
      <c r="G26" s="44"/>
      <c r="H26" s="42"/>
      <c r="I26" s="45"/>
      <c r="J26" s="46"/>
      <c r="K26" s="47"/>
      <c r="L26" s="48"/>
      <c r="M26" s="48"/>
      <c r="N26" s="48"/>
    </row>
    <row r="27" spans="1:30" s="111" customFormat="1" x14ac:dyDescent="0.25">
      <c r="C27" s="42"/>
      <c r="D27" s="42"/>
      <c r="E27" s="42"/>
      <c r="F27" s="42"/>
      <c r="G27" s="44"/>
      <c r="H27" s="42"/>
      <c r="I27" s="45"/>
      <c r="J27" s="46"/>
      <c r="K27" s="47"/>
      <c r="L27" s="48"/>
      <c r="M27" s="48"/>
      <c r="N27" s="48"/>
    </row>
    <row r="28" spans="1:30" s="111" customFormat="1" x14ac:dyDescent="0.25">
      <c r="C28" s="42"/>
      <c r="D28" s="42"/>
      <c r="E28" s="42"/>
      <c r="F28" s="42"/>
      <c r="G28" s="44"/>
      <c r="H28" s="42"/>
      <c r="I28" s="45"/>
      <c r="J28" s="46"/>
      <c r="K28" s="47"/>
      <c r="L28" s="48"/>
      <c r="M28" s="48"/>
      <c r="N28" s="48"/>
    </row>
    <row r="29" spans="1:30" s="111" customFormat="1" x14ac:dyDescent="0.25">
      <c r="I29" s="113"/>
      <c r="J29" s="114"/>
    </row>
    <row r="30" spans="1:30" s="111" customFormat="1" x14ac:dyDescent="0.25">
      <c r="I30" s="113"/>
      <c r="J30" s="114"/>
    </row>
    <row r="31" spans="1:30" s="111" customFormat="1" x14ac:dyDescent="0.25">
      <c r="I31" s="113"/>
      <c r="J31" s="114"/>
    </row>
    <row r="32" spans="1:30" s="111" customFormat="1" x14ac:dyDescent="0.25">
      <c r="I32" s="113"/>
      <c r="J32" s="114"/>
    </row>
    <row r="33" spans="9:10" s="111" customFormat="1" x14ac:dyDescent="0.25">
      <c r="I33" s="113"/>
      <c r="J33" s="114"/>
    </row>
    <row r="34" spans="9:10" s="111" customFormat="1" x14ac:dyDescent="0.25">
      <c r="I34" s="113"/>
      <c r="J34" s="114"/>
    </row>
    <row r="35" spans="9:10" s="111" customFormat="1" x14ac:dyDescent="0.25">
      <c r="I35" s="113"/>
      <c r="J35" s="114"/>
    </row>
    <row r="36" spans="9:10" s="111" customFormat="1" x14ac:dyDescent="0.25">
      <c r="I36" s="113"/>
      <c r="J36" s="114"/>
    </row>
    <row r="37" spans="9:10" s="111" customFormat="1" x14ac:dyDescent="0.25">
      <c r="I37" s="113"/>
      <c r="J37" s="114"/>
    </row>
    <row r="38" spans="9:10" s="111" customFormat="1" x14ac:dyDescent="0.25">
      <c r="I38" s="113"/>
      <c r="J38" s="114"/>
    </row>
    <row r="39" spans="9:10" s="111" customFormat="1" x14ac:dyDescent="0.25">
      <c r="I39" s="113"/>
      <c r="J39" s="114"/>
    </row>
    <row r="40" spans="9:10" s="111" customFormat="1" x14ac:dyDescent="0.25">
      <c r="I40" s="113"/>
      <c r="J40" s="114"/>
    </row>
    <row r="41" spans="9:10" s="111" customFormat="1" x14ac:dyDescent="0.25">
      <c r="I41" s="113"/>
      <c r="J41" s="114"/>
    </row>
    <row r="42" spans="9:10" s="111" customFormat="1" x14ac:dyDescent="0.25">
      <c r="I42" s="113"/>
      <c r="J42" s="114"/>
    </row>
    <row r="43" spans="9:10" s="111" customFormat="1" x14ac:dyDescent="0.25">
      <c r="I43" s="113"/>
      <c r="J43" s="114"/>
    </row>
    <row r="44" spans="9:10" s="111" customFormat="1" x14ac:dyDescent="0.25">
      <c r="I44" s="113"/>
      <c r="J44" s="114"/>
    </row>
    <row r="45" spans="9:10" s="111" customFormat="1" x14ac:dyDescent="0.25">
      <c r="I45" s="113"/>
      <c r="J45" s="114"/>
    </row>
    <row r="46" spans="9:10" s="111" customFormat="1" x14ac:dyDescent="0.25">
      <c r="I46" s="113"/>
      <c r="J46" s="114"/>
    </row>
    <row r="47" spans="9:10" s="111" customFormat="1" x14ac:dyDescent="0.25">
      <c r="I47" s="113"/>
      <c r="J47" s="114"/>
    </row>
    <row r="48" spans="9:10" s="111" customFormat="1" x14ac:dyDescent="0.25">
      <c r="I48" s="113"/>
      <c r="J48" s="114"/>
    </row>
    <row r="49" spans="9:10" s="111" customFormat="1" x14ac:dyDescent="0.25">
      <c r="I49" s="113"/>
      <c r="J49" s="114"/>
    </row>
    <row r="50" spans="9:10" s="111" customFormat="1" x14ac:dyDescent="0.25">
      <c r="I50" s="113"/>
      <c r="J50" s="114"/>
    </row>
    <row r="51" spans="9:10" s="111" customFormat="1" x14ac:dyDescent="0.25">
      <c r="I51" s="113"/>
      <c r="J51" s="114"/>
    </row>
    <row r="52" spans="9:10" s="111" customFormat="1" x14ac:dyDescent="0.25">
      <c r="I52" s="113"/>
      <c r="J52" s="114"/>
    </row>
    <row r="53" spans="9:10" s="111" customFormat="1" x14ac:dyDescent="0.25">
      <c r="I53" s="113"/>
      <c r="J53" s="114"/>
    </row>
    <row r="54" spans="9:10" s="111" customFormat="1" x14ac:dyDescent="0.25">
      <c r="I54" s="113"/>
      <c r="J54" s="114"/>
    </row>
    <row r="55" spans="9:10" s="111" customFormat="1" x14ac:dyDescent="0.25">
      <c r="I55" s="113"/>
      <c r="J55" s="114"/>
    </row>
    <row r="56" spans="9:10" s="111" customFormat="1" x14ac:dyDescent="0.25">
      <c r="I56" s="113"/>
      <c r="J56" s="114"/>
    </row>
    <row r="57" spans="9:10" s="111" customFormat="1" x14ac:dyDescent="0.25">
      <c r="I57" s="113"/>
      <c r="J57" s="114"/>
    </row>
    <row r="58" spans="9:10" s="111" customFormat="1" x14ac:dyDescent="0.25">
      <c r="I58" s="113"/>
      <c r="J58" s="114"/>
    </row>
    <row r="59" spans="9:10" s="111" customFormat="1" x14ac:dyDescent="0.25">
      <c r="I59" s="113"/>
      <c r="J59" s="114"/>
    </row>
    <row r="60" spans="9:10" s="111" customFormat="1" x14ac:dyDescent="0.25">
      <c r="I60" s="113"/>
      <c r="J60" s="114"/>
    </row>
    <row r="61" spans="9:10" s="111" customFormat="1" x14ac:dyDescent="0.25">
      <c r="I61" s="113"/>
      <c r="J61" s="114"/>
    </row>
    <row r="62" spans="9:10" s="111" customFormat="1" x14ac:dyDescent="0.25">
      <c r="I62" s="113"/>
      <c r="J62" s="114"/>
    </row>
    <row r="63" spans="9:10" s="111" customFormat="1" x14ac:dyDescent="0.25">
      <c r="I63" s="113"/>
      <c r="J63" s="114"/>
    </row>
    <row r="64" spans="9:10" s="111" customFormat="1" x14ac:dyDescent="0.25">
      <c r="I64" s="113"/>
      <c r="J64" s="114"/>
    </row>
    <row r="65" spans="9:10" s="111" customFormat="1" x14ac:dyDescent="0.25">
      <c r="I65" s="113"/>
      <c r="J65" s="114"/>
    </row>
    <row r="66" spans="9:10" s="111" customFormat="1" x14ac:dyDescent="0.25">
      <c r="I66" s="113"/>
      <c r="J66" s="114"/>
    </row>
    <row r="67" spans="9:10" s="111" customFormat="1" x14ac:dyDescent="0.25">
      <c r="I67" s="113"/>
      <c r="J67" s="114"/>
    </row>
    <row r="68" spans="9:10" s="111" customFormat="1" x14ac:dyDescent="0.25">
      <c r="I68" s="113"/>
      <c r="J68" s="114"/>
    </row>
    <row r="69" spans="9:10" s="111" customFormat="1" x14ac:dyDescent="0.25">
      <c r="I69" s="113"/>
      <c r="J69" s="114"/>
    </row>
    <row r="70" spans="9:10" s="111" customFormat="1" x14ac:dyDescent="0.25">
      <c r="I70" s="113"/>
      <c r="J70" s="114"/>
    </row>
    <row r="71" spans="9:10" s="111" customFormat="1" x14ac:dyDescent="0.25">
      <c r="I71" s="113"/>
      <c r="J71" s="114"/>
    </row>
    <row r="72" spans="9:10" s="111" customFormat="1" x14ac:dyDescent="0.25">
      <c r="I72" s="113"/>
      <c r="J72" s="114"/>
    </row>
    <row r="73" spans="9:10" s="111" customFormat="1" x14ac:dyDescent="0.25">
      <c r="I73" s="113"/>
      <c r="J73" s="114"/>
    </row>
    <row r="74" spans="9:10" s="111" customFormat="1" x14ac:dyDescent="0.25">
      <c r="I74" s="113"/>
      <c r="J74" s="114"/>
    </row>
    <row r="75" spans="9:10" s="111" customFormat="1" x14ac:dyDescent="0.25">
      <c r="I75" s="113"/>
      <c r="J75" s="114"/>
    </row>
    <row r="76" spans="9:10" s="111" customFormat="1" x14ac:dyDescent="0.25">
      <c r="I76" s="113"/>
      <c r="J76" s="114"/>
    </row>
    <row r="77" spans="9:10" s="111" customFormat="1" x14ac:dyDescent="0.25">
      <c r="I77" s="113"/>
      <c r="J77" s="114"/>
    </row>
    <row r="78" spans="9:10" s="111" customFormat="1" x14ac:dyDescent="0.25">
      <c r="I78" s="113"/>
      <c r="J78" s="114"/>
    </row>
    <row r="79" spans="9:10" s="111" customFormat="1" x14ac:dyDescent="0.25">
      <c r="I79" s="113"/>
      <c r="J79" s="114"/>
    </row>
    <row r="80" spans="9:10" s="111" customFormat="1" x14ac:dyDescent="0.25">
      <c r="I80" s="113"/>
      <c r="J80" s="114"/>
    </row>
    <row r="81" spans="9:10" s="111" customFormat="1" x14ac:dyDescent="0.25">
      <c r="I81" s="113"/>
      <c r="J81" s="114"/>
    </row>
    <row r="82" spans="9:10" s="111" customFormat="1" x14ac:dyDescent="0.25">
      <c r="I82" s="113"/>
      <c r="J82" s="114"/>
    </row>
    <row r="83" spans="9:10" s="111" customFormat="1" x14ac:dyDescent="0.25">
      <c r="I83" s="113"/>
      <c r="J83" s="114"/>
    </row>
    <row r="84" spans="9:10" s="111" customFormat="1" x14ac:dyDescent="0.25">
      <c r="I84" s="113"/>
      <c r="J84" s="114"/>
    </row>
    <row r="85" spans="9:10" s="111" customFormat="1" x14ac:dyDescent="0.25">
      <c r="I85" s="113"/>
      <c r="J85" s="114"/>
    </row>
    <row r="86" spans="9:10" s="111" customFormat="1" x14ac:dyDescent="0.25">
      <c r="I86" s="113"/>
      <c r="J86" s="114"/>
    </row>
    <row r="87" spans="9:10" s="111" customFormat="1" x14ac:dyDescent="0.25">
      <c r="I87" s="113"/>
      <c r="J87" s="114"/>
    </row>
    <row r="88" spans="9:10" s="111" customFormat="1" x14ac:dyDescent="0.25">
      <c r="I88" s="113"/>
      <c r="J88" s="114"/>
    </row>
    <row r="89" spans="9:10" s="111" customFormat="1" x14ac:dyDescent="0.25">
      <c r="I89" s="113"/>
      <c r="J89" s="114"/>
    </row>
    <row r="90" spans="9:10" s="111" customFormat="1" x14ac:dyDescent="0.25">
      <c r="I90" s="113"/>
      <c r="J90" s="114"/>
    </row>
    <row r="91" spans="9:10" s="111" customFormat="1" x14ac:dyDescent="0.25">
      <c r="I91" s="113"/>
      <c r="J91" s="114"/>
    </row>
    <row r="92" spans="9:10" s="111" customFormat="1" x14ac:dyDescent="0.25">
      <c r="I92" s="113"/>
      <c r="J92" s="114"/>
    </row>
    <row r="93" spans="9:10" s="111" customFormat="1" x14ac:dyDescent="0.25">
      <c r="I93" s="113"/>
      <c r="J93" s="114"/>
    </row>
    <row r="94" spans="9:10" s="111" customFormat="1" x14ac:dyDescent="0.25">
      <c r="I94" s="113"/>
      <c r="J94" s="114"/>
    </row>
    <row r="95" spans="9:10" s="111" customFormat="1" x14ac:dyDescent="0.25">
      <c r="I95" s="113"/>
      <c r="J95" s="114"/>
    </row>
    <row r="96" spans="9:10" s="111" customFormat="1" x14ac:dyDescent="0.25">
      <c r="I96" s="113"/>
      <c r="J96" s="114"/>
    </row>
    <row r="97" spans="9:10" s="111" customFormat="1" x14ac:dyDescent="0.25">
      <c r="I97" s="113"/>
      <c r="J97" s="114"/>
    </row>
    <row r="98" spans="9:10" s="111" customFormat="1" x14ac:dyDescent="0.25">
      <c r="I98" s="113"/>
      <c r="J98" s="114"/>
    </row>
    <row r="99" spans="9:10" s="111" customFormat="1" x14ac:dyDescent="0.25">
      <c r="I99" s="113"/>
      <c r="J99" s="114"/>
    </row>
    <row r="100" spans="9:10" s="111" customFormat="1" x14ac:dyDescent="0.25">
      <c r="I100" s="113"/>
      <c r="J100" s="114"/>
    </row>
    <row r="101" spans="9:10" s="111" customFormat="1" x14ac:dyDescent="0.25">
      <c r="I101" s="113"/>
      <c r="J101" s="114"/>
    </row>
    <row r="102" spans="9:10" s="111" customFormat="1" x14ac:dyDescent="0.25">
      <c r="I102" s="113"/>
      <c r="J102" s="114"/>
    </row>
    <row r="103" spans="9:10" s="111" customFormat="1" x14ac:dyDescent="0.25">
      <c r="I103" s="113"/>
      <c r="J103" s="114"/>
    </row>
    <row r="104" spans="9:10" s="111" customFormat="1" x14ac:dyDescent="0.25">
      <c r="I104" s="113"/>
      <c r="J104" s="114"/>
    </row>
    <row r="105" spans="9:10" s="111" customFormat="1" x14ac:dyDescent="0.25">
      <c r="I105" s="113"/>
      <c r="J105" s="114"/>
    </row>
    <row r="106" spans="9:10" s="111" customFormat="1" x14ac:dyDescent="0.25">
      <c r="I106" s="113"/>
      <c r="J106" s="114"/>
    </row>
    <row r="107" spans="9:10" s="111" customFormat="1" x14ac:dyDescent="0.25">
      <c r="I107" s="113"/>
      <c r="J107" s="114"/>
    </row>
    <row r="108" spans="9:10" s="111" customFormat="1" x14ac:dyDescent="0.25">
      <c r="I108" s="113"/>
      <c r="J108" s="114"/>
    </row>
    <row r="109" spans="9:10" s="111" customFormat="1" x14ac:dyDescent="0.25">
      <c r="I109" s="113"/>
      <c r="J109" s="114"/>
    </row>
    <row r="110" spans="9:10" s="111" customFormat="1" x14ac:dyDescent="0.25">
      <c r="I110" s="113"/>
      <c r="J110" s="114"/>
    </row>
    <row r="111" spans="9:10" s="111" customFormat="1" x14ac:dyDescent="0.25">
      <c r="I111" s="113"/>
      <c r="J111" s="114"/>
    </row>
    <row r="112" spans="9:10" s="111" customFormat="1" x14ac:dyDescent="0.25">
      <c r="I112" s="113"/>
      <c r="J112" s="114"/>
    </row>
    <row r="113" spans="9:10" s="111" customFormat="1" x14ac:dyDescent="0.25">
      <c r="I113" s="113"/>
      <c r="J113" s="114"/>
    </row>
    <row r="114" spans="9:10" s="111" customFormat="1" x14ac:dyDescent="0.25">
      <c r="I114" s="113"/>
      <c r="J114" s="114"/>
    </row>
    <row r="115" spans="9:10" s="111" customFormat="1" x14ac:dyDescent="0.25">
      <c r="I115" s="113"/>
      <c r="J115" s="114"/>
    </row>
    <row r="116" spans="9:10" s="111" customFormat="1" x14ac:dyDescent="0.25">
      <c r="I116" s="113"/>
      <c r="J116" s="114"/>
    </row>
    <row r="117" spans="9:10" s="111" customFormat="1" x14ac:dyDescent="0.25">
      <c r="I117" s="113"/>
      <c r="J117" s="114"/>
    </row>
    <row r="118" spans="9:10" s="111" customFormat="1" x14ac:dyDescent="0.25">
      <c r="I118" s="113"/>
      <c r="J118" s="114"/>
    </row>
    <row r="119" spans="9:10" s="111" customFormat="1" x14ac:dyDescent="0.25">
      <c r="I119" s="113"/>
      <c r="J119" s="114"/>
    </row>
    <row r="120" spans="9:10" s="111" customFormat="1" x14ac:dyDescent="0.25">
      <c r="I120" s="113"/>
      <c r="J120" s="114"/>
    </row>
    <row r="121" spans="9:10" s="111" customFormat="1" x14ac:dyDescent="0.25">
      <c r="I121" s="113"/>
      <c r="J121" s="114"/>
    </row>
    <row r="122" spans="9:10" s="111" customFormat="1" x14ac:dyDescent="0.25">
      <c r="I122" s="113"/>
      <c r="J122" s="114"/>
    </row>
    <row r="123" spans="9:10" s="111" customFormat="1" x14ac:dyDescent="0.25">
      <c r="I123" s="113"/>
      <c r="J123" s="114"/>
    </row>
    <row r="124" spans="9:10" s="111" customFormat="1" x14ac:dyDescent="0.25">
      <c r="I124" s="113"/>
      <c r="J124" s="114"/>
    </row>
    <row r="125" spans="9:10" s="111" customFormat="1" x14ac:dyDescent="0.25">
      <c r="I125" s="113"/>
      <c r="J125" s="114"/>
    </row>
    <row r="126" spans="9:10" s="111" customFormat="1" x14ac:dyDescent="0.25">
      <c r="I126" s="113"/>
      <c r="J126" s="114"/>
    </row>
    <row r="127" spans="9:10" s="111" customFormat="1" x14ac:dyDescent="0.25">
      <c r="I127" s="113"/>
      <c r="J127" s="114"/>
    </row>
    <row r="128" spans="9:10" s="111" customFormat="1" x14ac:dyDescent="0.25">
      <c r="I128" s="113"/>
      <c r="J128" s="114"/>
    </row>
    <row r="129" spans="9:10" s="111" customFormat="1" x14ac:dyDescent="0.25">
      <c r="I129" s="113"/>
      <c r="J129" s="114"/>
    </row>
    <row r="130" spans="9:10" s="111" customFormat="1" x14ac:dyDescent="0.25">
      <c r="I130" s="113"/>
      <c r="J130" s="114"/>
    </row>
    <row r="131" spans="9:10" s="111" customFormat="1" x14ac:dyDescent="0.25">
      <c r="I131" s="113"/>
      <c r="J131" s="114"/>
    </row>
    <row r="132" spans="9:10" s="111" customFormat="1" x14ac:dyDescent="0.25">
      <c r="I132" s="113"/>
      <c r="J132" s="114"/>
    </row>
    <row r="133" spans="9:10" s="111" customFormat="1" x14ac:dyDescent="0.25">
      <c r="I133" s="113"/>
      <c r="J133" s="114"/>
    </row>
    <row r="134" spans="9:10" s="111" customFormat="1" x14ac:dyDescent="0.25">
      <c r="I134" s="113"/>
      <c r="J134" s="114"/>
    </row>
    <row r="135" spans="9:10" s="111" customFormat="1" x14ac:dyDescent="0.25">
      <c r="I135" s="113"/>
      <c r="J135" s="114"/>
    </row>
    <row r="136" spans="9:10" s="111" customFormat="1" x14ac:dyDescent="0.25">
      <c r="I136" s="113"/>
      <c r="J136" s="114"/>
    </row>
    <row r="137" spans="9:10" s="111" customFormat="1" x14ac:dyDescent="0.25">
      <c r="I137" s="113"/>
      <c r="J137" s="114"/>
    </row>
    <row r="138" spans="9:10" s="111" customFormat="1" x14ac:dyDescent="0.25">
      <c r="I138" s="113"/>
      <c r="J138" s="114"/>
    </row>
    <row r="139" spans="9:10" s="111" customFormat="1" x14ac:dyDescent="0.25">
      <c r="I139" s="113"/>
      <c r="J139" s="114"/>
    </row>
    <row r="140" spans="9:10" s="111" customFormat="1" x14ac:dyDescent="0.25">
      <c r="I140" s="113"/>
      <c r="J140" s="114"/>
    </row>
    <row r="141" spans="9:10" s="111" customFormat="1" x14ac:dyDescent="0.25">
      <c r="I141" s="113"/>
      <c r="J141" s="114"/>
    </row>
    <row r="142" spans="9:10" s="111" customFormat="1" x14ac:dyDescent="0.25">
      <c r="I142" s="113"/>
      <c r="J142" s="114"/>
    </row>
    <row r="143" spans="9:10" s="111" customFormat="1" x14ac:dyDescent="0.25">
      <c r="I143" s="113"/>
      <c r="J143" s="114"/>
    </row>
    <row r="144" spans="9:10" s="111" customFormat="1" x14ac:dyDescent="0.25">
      <c r="I144" s="113"/>
      <c r="J144" s="114"/>
    </row>
    <row r="145" spans="9:10" s="111" customFormat="1" x14ac:dyDescent="0.25">
      <c r="I145" s="113"/>
      <c r="J145" s="114"/>
    </row>
    <row r="146" spans="9:10" s="111" customFormat="1" x14ac:dyDescent="0.25">
      <c r="I146" s="113"/>
      <c r="J146" s="114"/>
    </row>
    <row r="147" spans="9:10" s="111" customFormat="1" x14ac:dyDescent="0.25">
      <c r="I147" s="113"/>
      <c r="J147" s="114"/>
    </row>
    <row r="148" spans="9:10" s="111" customFormat="1" x14ac:dyDescent="0.25">
      <c r="I148" s="113"/>
      <c r="J148" s="114"/>
    </row>
    <row r="149" spans="9:10" s="111" customFormat="1" x14ac:dyDescent="0.25">
      <c r="I149" s="113"/>
      <c r="J149" s="114"/>
    </row>
    <row r="150" spans="9:10" s="111" customFormat="1" x14ac:dyDescent="0.25">
      <c r="I150" s="113"/>
      <c r="J150" s="114"/>
    </row>
    <row r="151" spans="9:10" s="111" customFormat="1" x14ac:dyDescent="0.25">
      <c r="I151" s="113"/>
      <c r="J151" s="114"/>
    </row>
    <row r="152" spans="9:10" s="111" customFormat="1" x14ac:dyDescent="0.25">
      <c r="I152" s="113"/>
      <c r="J152" s="114"/>
    </row>
    <row r="153" spans="9:10" s="111" customFormat="1" x14ac:dyDescent="0.25">
      <c r="I153" s="113"/>
      <c r="J153" s="114"/>
    </row>
    <row r="154" spans="9:10" s="111" customFormat="1" x14ac:dyDescent="0.25">
      <c r="I154" s="113"/>
      <c r="J154" s="114"/>
    </row>
    <row r="155" spans="9:10" s="111" customFormat="1" x14ac:dyDescent="0.25">
      <c r="I155" s="113"/>
      <c r="J155" s="114"/>
    </row>
    <row r="156" spans="9:10" s="111" customFormat="1" x14ac:dyDescent="0.25">
      <c r="I156" s="113"/>
      <c r="J156" s="114"/>
    </row>
    <row r="157" spans="9:10" s="111" customFormat="1" x14ac:dyDescent="0.25">
      <c r="I157" s="113"/>
      <c r="J157" s="114"/>
    </row>
    <row r="158" spans="9:10" s="111" customFormat="1" x14ac:dyDescent="0.25">
      <c r="I158" s="113"/>
      <c r="J158" s="114"/>
    </row>
    <row r="159" spans="9:10" s="111" customFormat="1" x14ac:dyDescent="0.25">
      <c r="I159" s="113"/>
      <c r="J159" s="114"/>
    </row>
    <row r="160" spans="9:10" s="111" customFormat="1" x14ac:dyDescent="0.25">
      <c r="I160" s="113"/>
      <c r="J160" s="114"/>
    </row>
    <row r="161" spans="9:10" s="111" customFormat="1" x14ac:dyDescent="0.25">
      <c r="I161" s="113"/>
      <c r="J161" s="114"/>
    </row>
    <row r="162" spans="9:10" s="111" customFormat="1" x14ac:dyDescent="0.25">
      <c r="I162" s="113"/>
      <c r="J162" s="114"/>
    </row>
    <row r="163" spans="9:10" s="111" customFormat="1" x14ac:dyDescent="0.25">
      <c r="I163" s="113"/>
      <c r="J163" s="114"/>
    </row>
    <row r="164" spans="9:10" s="111" customFormat="1" x14ac:dyDescent="0.25">
      <c r="I164" s="113"/>
      <c r="J164" s="114"/>
    </row>
    <row r="165" spans="9:10" s="111" customFormat="1" x14ac:dyDescent="0.25">
      <c r="I165" s="113"/>
      <c r="J165" s="114"/>
    </row>
    <row r="166" spans="9:10" s="111" customFormat="1" x14ac:dyDescent="0.25">
      <c r="I166" s="113"/>
      <c r="J166" s="114"/>
    </row>
    <row r="167" spans="9:10" s="111" customFormat="1" x14ac:dyDescent="0.25">
      <c r="I167" s="113"/>
      <c r="J167" s="114"/>
    </row>
    <row r="168" spans="9:10" s="111" customFormat="1" x14ac:dyDescent="0.25">
      <c r="I168" s="113"/>
      <c r="J168" s="114"/>
    </row>
    <row r="169" spans="9:10" s="111" customFormat="1" x14ac:dyDescent="0.25">
      <c r="I169" s="113"/>
      <c r="J169" s="114"/>
    </row>
    <row r="170" spans="9:10" s="111" customFormat="1" x14ac:dyDescent="0.25">
      <c r="I170" s="113"/>
      <c r="J170" s="114"/>
    </row>
    <row r="171" spans="9:10" s="111" customFormat="1" x14ac:dyDescent="0.25">
      <c r="I171" s="113"/>
      <c r="J171" s="114"/>
    </row>
    <row r="172" spans="9:10" s="111" customFormat="1" x14ac:dyDescent="0.25">
      <c r="I172" s="113"/>
      <c r="J172" s="114"/>
    </row>
    <row r="173" spans="9:10" s="111" customFormat="1" x14ac:dyDescent="0.25">
      <c r="I173" s="113"/>
      <c r="J173" s="114"/>
    </row>
    <row r="174" spans="9:10" s="111" customFormat="1" x14ac:dyDescent="0.25">
      <c r="I174" s="113"/>
      <c r="J174" s="114"/>
    </row>
    <row r="175" spans="9:10" s="111" customFormat="1" x14ac:dyDescent="0.25">
      <c r="I175" s="113"/>
      <c r="J175" s="114"/>
    </row>
    <row r="176" spans="9:10" s="111" customFormat="1" x14ac:dyDescent="0.25">
      <c r="I176" s="113"/>
      <c r="J176" s="114"/>
    </row>
    <row r="177" spans="9:10" s="111" customFormat="1" x14ac:dyDescent="0.25">
      <c r="I177" s="113"/>
      <c r="J177" s="114"/>
    </row>
    <row r="178" spans="9:10" s="111" customFormat="1" x14ac:dyDescent="0.25">
      <c r="I178" s="113"/>
      <c r="J178" s="114"/>
    </row>
    <row r="179" spans="9:10" s="111" customFormat="1" x14ac:dyDescent="0.25">
      <c r="I179" s="113"/>
      <c r="J179" s="114"/>
    </row>
    <row r="180" spans="9:10" s="111" customFormat="1" x14ac:dyDescent="0.25">
      <c r="I180" s="113"/>
      <c r="J180" s="114"/>
    </row>
    <row r="181" spans="9:10" s="111" customFormat="1" x14ac:dyDescent="0.25">
      <c r="I181" s="113"/>
      <c r="J181" s="114"/>
    </row>
    <row r="182" spans="9:10" s="111" customFormat="1" x14ac:dyDescent="0.25">
      <c r="I182" s="113"/>
      <c r="J182" s="114"/>
    </row>
    <row r="183" spans="9:10" s="111" customFormat="1" x14ac:dyDescent="0.25">
      <c r="I183" s="113"/>
      <c r="J183" s="114"/>
    </row>
    <row r="184" spans="9:10" s="111" customFormat="1" x14ac:dyDescent="0.25">
      <c r="I184" s="113"/>
      <c r="J184" s="114"/>
    </row>
    <row r="185" spans="9:10" s="111" customFormat="1" x14ac:dyDescent="0.25">
      <c r="I185" s="113"/>
      <c r="J185" s="114"/>
    </row>
    <row r="186" spans="9:10" s="111" customFormat="1" x14ac:dyDescent="0.25">
      <c r="I186" s="113"/>
      <c r="J186" s="114"/>
    </row>
    <row r="187" spans="9:10" s="111" customFormat="1" x14ac:dyDescent="0.25">
      <c r="I187" s="113"/>
      <c r="J187" s="114"/>
    </row>
    <row r="188" spans="9:10" s="111" customFormat="1" x14ac:dyDescent="0.25">
      <c r="I188" s="113"/>
      <c r="J188" s="114"/>
    </row>
    <row r="189" spans="9:10" s="111" customFormat="1" x14ac:dyDescent="0.25">
      <c r="I189" s="113"/>
      <c r="J189" s="114"/>
    </row>
    <row r="190" spans="9:10" s="111" customFormat="1" x14ac:dyDescent="0.25">
      <c r="I190" s="113"/>
      <c r="J190" s="114"/>
    </row>
    <row r="191" spans="9:10" s="111" customFormat="1" x14ac:dyDescent="0.25">
      <c r="I191" s="113"/>
      <c r="J191" s="114"/>
    </row>
    <row r="192" spans="9:10" s="111" customFormat="1" x14ac:dyDescent="0.25">
      <c r="I192" s="113"/>
      <c r="J192" s="114"/>
    </row>
    <row r="193" spans="9:10" s="111" customFormat="1" x14ac:dyDescent="0.25">
      <c r="I193" s="113"/>
      <c r="J193" s="114"/>
    </row>
    <row r="194" spans="9:10" s="111" customFormat="1" x14ac:dyDescent="0.25">
      <c r="I194" s="113"/>
      <c r="J194" s="114"/>
    </row>
    <row r="195" spans="9:10" s="111" customFormat="1" x14ac:dyDescent="0.25">
      <c r="I195" s="113"/>
      <c r="J195" s="114"/>
    </row>
    <row r="196" spans="9:10" s="111" customFormat="1" x14ac:dyDescent="0.25">
      <c r="I196" s="113"/>
      <c r="J196" s="114"/>
    </row>
    <row r="197" spans="9:10" s="111" customFormat="1" x14ac:dyDescent="0.25">
      <c r="I197" s="113"/>
      <c r="J197" s="114"/>
    </row>
    <row r="198" spans="9:10" s="111" customFormat="1" x14ac:dyDescent="0.25">
      <c r="I198" s="113"/>
      <c r="J198" s="114"/>
    </row>
    <row r="199" spans="9:10" s="111" customFormat="1" x14ac:dyDescent="0.25">
      <c r="I199" s="113"/>
      <c r="J199" s="114"/>
    </row>
    <row r="200" spans="9:10" s="111" customFormat="1" x14ac:dyDescent="0.25">
      <c r="I200" s="113"/>
      <c r="J200" s="114"/>
    </row>
    <row r="201" spans="9:10" s="111" customFormat="1" x14ac:dyDescent="0.25">
      <c r="I201" s="113"/>
      <c r="J201" s="114"/>
    </row>
    <row r="202" spans="9:10" s="111" customFormat="1" x14ac:dyDescent="0.25">
      <c r="I202" s="113"/>
      <c r="J202" s="114"/>
    </row>
    <row r="203" spans="9:10" s="111" customFormat="1" x14ac:dyDescent="0.25">
      <c r="I203" s="113"/>
      <c r="J203" s="114"/>
    </row>
    <row r="204" spans="9:10" s="111" customFormat="1" x14ac:dyDescent="0.25">
      <c r="I204" s="113"/>
      <c r="J204" s="114"/>
    </row>
    <row r="205" spans="9:10" s="111" customFormat="1" x14ac:dyDescent="0.25">
      <c r="I205" s="113"/>
      <c r="J205" s="114"/>
    </row>
    <row r="206" spans="9:10" s="111" customFormat="1" x14ac:dyDescent="0.25">
      <c r="I206" s="113"/>
      <c r="J206" s="114"/>
    </row>
    <row r="207" spans="9:10" s="111" customFormat="1" x14ac:dyDescent="0.25">
      <c r="I207" s="113"/>
      <c r="J207" s="114"/>
    </row>
    <row r="208" spans="9:10" s="111" customFormat="1" x14ac:dyDescent="0.25">
      <c r="I208" s="113"/>
      <c r="J208" s="114"/>
    </row>
    <row r="209" spans="9:10" s="111" customFormat="1" x14ac:dyDescent="0.25">
      <c r="I209" s="113"/>
      <c r="J209" s="114"/>
    </row>
    <row r="210" spans="9:10" s="111" customFormat="1" x14ac:dyDescent="0.25">
      <c r="I210" s="113"/>
      <c r="J210" s="114"/>
    </row>
    <row r="211" spans="9:10" s="111" customFormat="1" x14ac:dyDescent="0.25">
      <c r="I211" s="113"/>
      <c r="J211" s="114"/>
    </row>
    <row r="212" spans="9:10" s="111" customFormat="1" x14ac:dyDescent="0.25">
      <c r="I212" s="113"/>
      <c r="J212" s="114"/>
    </row>
    <row r="213" spans="9:10" s="111" customFormat="1" x14ac:dyDescent="0.25">
      <c r="I213" s="113"/>
      <c r="J213" s="114"/>
    </row>
    <row r="214" spans="9:10" s="111" customFormat="1" x14ac:dyDescent="0.25">
      <c r="I214" s="113"/>
      <c r="J214" s="114"/>
    </row>
    <row r="215" spans="9:10" s="111" customFormat="1" x14ac:dyDescent="0.25">
      <c r="I215" s="113"/>
      <c r="J215" s="114"/>
    </row>
    <row r="216" spans="9:10" s="111" customFormat="1" x14ac:dyDescent="0.25">
      <c r="I216" s="113"/>
      <c r="J216" s="114"/>
    </row>
    <row r="217" spans="9:10" s="111" customFormat="1" x14ac:dyDescent="0.25">
      <c r="I217" s="113"/>
      <c r="J217" s="114"/>
    </row>
    <row r="218" spans="9:10" s="111" customFormat="1" x14ac:dyDescent="0.25">
      <c r="I218" s="113"/>
      <c r="J218" s="114"/>
    </row>
    <row r="219" spans="9:10" s="111" customFormat="1" x14ac:dyDescent="0.25">
      <c r="I219" s="113"/>
      <c r="J219" s="114"/>
    </row>
    <row r="220" spans="9:10" s="111" customFormat="1" x14ac:dyDescent="0.25">
      <c r="I220" s="113"/>
      <c r="J220" s="114"/>
    </row>
    <row r="221" spans="9:10" s="111" customFormat="1" x14ac:dyDescent="0.25">
      <c r="I221" s="113"/>
      <c r="J221" s="114"/>
    </row>
    <row r="222" spans="9:10" s="111" customFormat="1" x14ac:dyDescent="0.25">
      <c r="I222" s="113"/>
      <c r="J222" s="114"/>
    </row>
    <row r="223" spans="9:10" s="111" customFormat="1" x14ac:dyDescent="0.25">
      <c r="I223" s="113"/>
      <c r="J223" s="114"/>
    </row>
    <row r="224" spans="9:10" s="111" customFormat="1" x14ac:dyDescent="0.25">
      <c r="I224" s="113"/>
      <c r="J224" s="114"/>
    </row>
    <row r="225" spans="9:10" s="111" customFormat="1" x14ac:dyDescent="0.25">
      <c r="I225" s="113"/>
      <c r="J225" s="114"/>
    </row>
    <row r="226" spans="9:10" s="111" customFormat="1" x14ac:dyDescent="0.25">
      <c r="I226" s="113"/>
      <c r="J226" s="114"/>
    </row>
    <row r="227" spans="9:10" s="111" customFormat="1" x14ac:dyDescent="0.25">
      <c r="I227" s="113"/>
      <c r="J227" s="114"/>
    </row>
    <row r="228" spans="9:10" s="111" customFormat="1" x14ac:dyDescent="0.25">
      <c r="I228" s="113"/>
      <c r="J228" s="114"/>
    </row>
    <row r="229" spans="9:10" s="111" customFormat="1" x14ac:dyDescent="0.25">
      <c r="I229" s="113"/>
      <c r="J229" s="114"/>
    </row>
    <row r="230" spans="9:10" s="111" customFormat="1" x14ac:dyDescent="0.25">
      <c r="I230" s="113"/>
      <c r="J230" s="114"/>
    </row>
    <row r="231" spans="9:10" s="111" customFormat="1" x14ac:dyDescent="0.25">
      <c r="I231" s="113"/>
      <c r="J231" s="114"/>
    </row>
    <row r="232" spans="9:10" s="111" customFormat="1" x14ac:dyDescent="0.25">
      <c r="I232" s="113"/>
      <c r="J232" s="114"/>
    </row>
    <row r="233" spans="9:10" s="111" customFormat="1" x14ac:dyDescent="0.25">
      <c r="I233" s="113"/>
      <c r="J233" s="114"/>
    </row>
    <row r="234" spans="9:10" s="111" customFormat="1" x14ac:dyDescent="0.25">
      <c r="I234" s="113"/>
      <c r="J234" s="114"/>
    </row>
    <row r="235" spans="9:10" s="111" customFormat="1" x14ac:dyDescent="0.25">
      <c r="I235" s="113"/>
      <c r="J235" s="114"/>
    </row>
    <row r="236" spans="9:10" s="111" customFormat="1" x14ac:dyDescent="0.25">
      <c r="I236" s="113"/>
      <c r="J236" s="114"/>
    </row>
    <row r="237" spans="9:10" s="111" customFormat="1" x14ac:dyDescent="0.25">
      <c r="I237" s="113"/>
      <c r="J237" s="114"/>
    </row>
    <row r="238" spans="9:10" s="111" customFormat="1" x14ac:dyDescent="0.25">
      <c r="I238" s="113"/>
      <c r="J238" s="114"/>
    </row>
    <row r="239" spans="9:10" s="111" customFormat="1" x14ac:dyDescent="0.25">
      <c r="I239" s="113"/>
      <c r="J239" s="114"/>
    </row>
    <row r="240" spans="9:10" s="111" customFormat="1" x14ac:dyDescent="0.25">
      <c r="I240" s="113"/>
      <c r="J240" s="114"/>
    </row>
    <row r="241" spans="9:10" s="111" customFormat="1" x14ac:dyDescent="0.25">
      <c r="I241" s="113"/>
      <c r="J241" s="114"/>
    </row>
    <row r="242" spans="9:10" s="111" customFormat="1" x14ac:dyDescent="0.25">
      <c r="I242" s="113"/>
      <c r="J242" s="114"/>
    </row>
    <row r="243" spans="9:10" s="111" customFormat="1" x14ac:dyDescent="0.25">
      <c r="I243" s="113"/>
      <c r="J243" s="114"/>
    </row>
    <row r="244" spans="9:10" s="111" customFormat="1" x14ac:dyDescent="0.25">
      <c r="I244" s="113"/>
      <c r="J244" s="114"/>
    </row>
    <row r="245" spans="9:10" s="111" customFormat="1" x14ac:dyDescent="0.25">
      <c r="I245" s="113"/>
      <c r="J245" s="114"/>
    </row>
    <row r="246" spans="9:10" s="111" customFormat="1" x14ac:dyDescent="0.25">
      <c r="I246" s="113"/>
      <c r="J246" s="114"/>
    </row>
    <row r="247" spans="9:10" s="111" customFormat="1" x14ac:dyDescent="0.25">
      <c r="I247" s="113"/>
      <c r="J247" s="114"/>
    </row>
    <row r="248" spans="9:10" s="111" customFormat="1" x14ac:dyDescent="0.25">
      <c r="I248" s="113"/>
      <c r="J248" s="114"/>
    </row>
    <row r="249" spans="9:10" s="111" customFormat="1" x14ac:dyDescent="0.25">
      <c r="I249" s="113"/>
      <c r="J249" s="114"/>
    </row>
    <row r="250" spans="9:10" s="111" customFormat="1" x14ac:dyDescent="0.25">
      <c r="I250" s="113"/>
      <c r="J250" s="114"/>
    </row>
    <row r="251" spans="9:10" s="111" customFormat="1" x14ac:dyDescent="0.25">
      <c r="I251" s="113"/>
      <c r="J251" s="114"/>
    </row>
    <row r="252" spans="9:10" s="111" customFormat="1" x14ac:dyDescent="0.25">
      <c r="I252" s="113"/>
      <c r="J252" s="114"/>
    </row>
    <row r="253" spans="9:10" s="111" customFormat="1" x14ac:dyDescent="0.25">
      <c r="I253" s="113"/>
      <c r="J253" s="114"/>
    </row>
    <row r="254" spans="9:10" s="111" customFormat="1" x14ac:dyDescent="0.25">
      <c r="I254" s="113"/>
      <c r="J254" s="114"/>
    </row>
    <row r="255" spans="9:10" s="111" customFormat="1" x14ac:dyDescent="0.25">
      <c r="I255" s="113"/>
      <c r="J255" s="114"/>
    </row>
    <row r="256" spans="9:10" s="111" customFormat="1" x14ac:dyDescent="0.25">
      <c r="I256" s="113"/>
      <c r="J256" s="114"/>
    </row>
    <row r="257" spans="9:10" s="111" customFormat="1" x14ac:dyDescent="0.25">
      <c r="I257" s="113"/>
      <c r="J257" s="114"/>
    </row>
    <row r="258" spans="9:10" s="111" customFormat="1" x14ac:dyDescent="0.25">
      <c r="I258" s="113"/>
      <c r="J258" s="114"/>
    </row>
    <row r="259" spans="9:10" s="111" customFormat="1" x14ac:dyDescent="0.25">
      <c r="I259" s="113"/>
      <c r="J259" s="114"/>
    </row>
    <row r="260" spans="9:10" s="111" customFormat="1" x14ac:dyDescent="0.25">
      <c r="I260" s="113"/>
      <c r="J260" s="114"/>
    </row>
    <row r="261" spans="9:10" s="111" customFormat="1" x14ac:dyDescent="0.25">
      <c r="I261" s="113"/>
      <c r="J261" s="114"/>
    </row>
    <row r="262" spans="9:10" s="111" customFormat="1" x14ac:dyDescent="0.25">
      <c r="I262" s="113"/>
      <c r="J262" s="114"/>
    </row>
    <row r="263" spans="9:10" s="111" customFormat="1" x14ac:dyDescent="0.25">
      <c r="I263" s="113"/>
      <c r="J263" s="114"/>
    </row>
    <row r="264" spans="9:10" s="111" customFormat="1" x14ac:dyDescent="0.25">
      <c r="I264" s="113"/>
      <c r="J264" s="114"/>
    </row>
    <row r="265" spans="9:10" s="111" customFormat="1" x14ac:dyDescent="0.25">
      <c r="I265" s="113"/>
      <c r="J265" s="114"/>
    </row>
    <row r="266" spans="9:10" s="111" customFormat="1" x14ac:dyDescent="0.25">
      <c r="I266" s="113"/>
      <c r="J266" s="114"/>
    </row>
    <row r="267" spans="9:10" s="111" customFormat="1" x14ac:dyDescent="0.25">
      <c r="I267" s="113"/>
      <c r="J267" s="114"/>
    </row>
    <row r="268" spans="9:10" s="111" customFormat="1" x14ac:dyDescent="0.25">
      <c r="I268" s="113"/>
      <c r="J268" s="114"/>
    </row>
    <row r="269" spans="9:10" s="111" customFormat="1" x14ac:dyDescent="0.25">
      <c r="I269" s="113"/>
      <c r="J269" s="114"/>
    </row>
    <row r="270" spans="9:10" s="111" customFormat="1" x14ac:dyDescent="0.25">
      <c r="I270" s="113"/>
      <c r="J270" s="114"/>
    </row>
    <row r="271" spans="9:10" s="111" customFormat="1" x14ac:dyDescent="0.25">
      <c r="I271" s="113"/>
      <c r="J271" s="114"/>
    </row>
    <row r="272" spans="9:10" s="111" customFormat="1" x14ac:dyDescent="0.25">
      <c r="I272" s="113"/>
      <c r="J272" s="114"/>
    </row>
    <row r="273" spans="9:10" s="111" customFormat="1" x14ac:dyDescent="0.25">
      <c r="I273" s="113"/>
      <c r="J273" s="114"/>
    </row>
    <row r="274" spans="9:10" s="111" customFormat="1" x14ac:dyDescent="0.25">
      <c r="I274" s="113"/>
      <c r="J274" s="114"/>
    </row>
    <row r="275" spans="9:10" s="111" customFormat="1" x14ac:dyDescent="0.25">
      <c r="I275" s="113"/>
      <c r="J275" s="114"/>
    </row>
    <row r="276" spans="9:10" s="111" customFormat="1" x14ac:dyDescent="0.25">
      <c r="I276" s="113"/>
      <c r="J276" s="114"/>
    </row>
    <row r="277" spans="9:10" s="111" customFormat="1" x14ac:dyDescent="0.25">
      <c r="I277" s="113"/>
      <c r="J277" s="114"/>
    </row>
    <row r="278" spans="9:10" s="111" customFormat="1" x14ac:dyDescent="0.25">
      <c r="I278" s="113"/>
      <c r="J278" s="114"/>
    </row>
    <row r="279" spans="9:10" s="111" customFormat="1" x14ac:dyDescent="0.25">
      <c r="I279" s="113"/>
      <c r="J279" s="114"/>
    </row>
    <row r="280" spans="9:10" s="111" customFormat="1" x14ac:dyDescent="0.25">
      <c r="I280" s="113"/>
      <c r="J280" s="114"/>
    </row>
    <row r="281" spans="9:10" s="111" customFormat="1" x14ac:dyDescent="0.25">
      <c r="I281" s="113"/>
      <c r="J281" s="114"/>
    </row>
    <row r="282" spans="9:10" s="111" customFormat="1" x14ac:dyDescent="0.25">
      <c r="I282" s="113"/>
      <c r="J282" s="114"/>
    </row>
    <row r="283" spans="9:10" s="111" customFormat="1" x14ac:dyDescent="0.25">
      <c r="I283" s="113"/>
      <c r="J283" s="114"/>
    </row>
    <row r="284" spans="9:10" s="111" customFormat="1" x14ac:dyDescent="0.25">
      <c r="I284" s="113"/>
      <c r="J284" s="114"/>
    </row>
    <row r="285" spans="9:10" s="111" customFormat="1" x14ac:dyDescent="0.25">
      <c r="I285" s="113"/>
      <c r="J285" s="114"/>
    </row>
    <row r="286" spans="9:10" s="111" customFormat="1" x14ac:dyDescent="0.25">
      <c r="I286" s="113"/>
      <c r="J286" s="114"/>
    </row>
    <row r="287" spans="9:10" s="111" customFormat="1" x14ac:dyDescent="0.25">
      <c r="I287" s="113"/>
      <c r="J287" s="114"/>
    </row>
    <row r="288" spans="9:10" s="111" customFormat="1" x14ac:dyDescent="0.25">
      <c r="I288" s="113"/>
      <c r="J288" s="114"/>
    </row>
    <row r="289" spans="9:10" s="111" customFormat="1" x14ac:dyDescent="0.25">
      <c r="I289" s="113"/>
      <c r="J289" s="114"/>
    </row>
    <row r="290" spans="9:10" s="111" customFormat="1" x14ac:dyDescent="0.25">
      <c r="I290" s="113"/>
      <c r="J290" s="114"/>
    </row>
    <row r="291" spans="9:10" s="111" customFormat="1" x14ac:dyDescent="0.25">
      <c r="I291" s="113"/>
      <c r="J291" s="114"/>
    </row>
    <row r="292" spans="9:10" s="111" customFormat="1" x14ac:dyDescent="0.25">
      <c r="I292" s="113"/>
      <c r="J292" s="114"/>
    </row>
    <row r="293" spans="9:10" s="111" customFormat="1" x14ac:dyDescent="0.25">
      <c r="I293" s="113"/>
      <c r="J293" s="114"/>
    </row>
    <row r="294" spans="9:10" s="111" customFormat="1" x14ac:dyDescent="0.25">
      <c r="I294" s="113"/>
      <c r="J294" s="114"/>
    </row>
    <row r="295" spans="9:10" s="111" customFormat="1" x14ac:dyDescent="0.25">
      <c r="I295" s="113"/>
      <c r="J295" s="114"/>
    </row>
    <row r="296" spans="9:10" s="111" customFormat="1" x14ac:dyDescent="0.25">
      <c r="I296" s="113"/>
      <c r="J296" s="114"/>
    </row>
    <row r="297" spans="9:10" s="111" customFormat="1" x14ac:dyDescent="0.25">
      <c r="I297" s="113"/>
      <c r="J297" s="114"/>
    </row>
    <row r="298" spans="9:10" s="111" customFormat="1" x14ac:dyDescent="0.25">
      <c r="I298" s="113"/>
      <c r="J298" s="114"/>
    </row>
    <row r="299" spans="9:10" s="111" customFormat="1" x14ac:dyDescent="0.25">
      <c r="I299" s="113"/>
      <c r="J299" s="114"/>
    </row>
    <row r="300" spans="9:10" s="111" customFormat="1" x14ac:dyDescent="0.25">
      <c r="I300" s="113"/>
      <c r="J300" s="114"/>
    </row>
    <row r="301" spans="9:10" s="111" customFormat="1" x14ac:dyDescent="0.25">
      <c r="I301" s="113"/>
      <c r="J301" s="114"/>
    </row>
    <row r="302" spans="9:10" s="111" customFormat="1" x14ac:dyDescent="0.25">
      <c r="I302" s="113"/>
      <c r="J302" s="114"/>
    </row>
    <row r="303" spans="9:10" s="111" customFormat="1" x14ac:dyDescent="0.25">
      <c r="I303" s="113"/>
      <c r="J303" s="114"/>
    </row>
    <row r="304" spans="9:10" s="111" customFormat="1" x14ac:dyDescent="0.25">
      <c r="I304" s="113"/>
      <c r="J304" s="114"/>
    </row>
    <row r="305" spans="9:10" s="111" customFormat="1" x14ac:dyDescent="0.25">
      <c r="I305" s="113"/>
      <c r="J305" s="114"/>
    </row>
    <row r="306" spans="9:10" s="111" customFormat="1" x14ac:dyDescent="0.25">
      <c r="I306" s="113"/>
      <c r="J306" s="114"/>
    </row>
    <row r="307" spans="9:10" s="111" customFormat="1" x14ac:dyDescent="0.25">
      <c r="I307" s="113"/>
      <c r="J307" s="114"/>
    </row>
    <row r="308" spans="9:10" s="111" customFormat="1" x14ac:dyDescent="0.25">
      <c r="I308" s="113"/>
      <c r="J308" s="114"/>
    </row>
    <row r="309" spans="9:10" s="111" customFormat="1" x14ac:dyDescent="0.25">
      <c r="I309" s="113"/>
      <c r="J309" s="114"/>
    </row>
    <row r="310" spans="9:10" s="111" customFormat="1" x14ac:dyDescent="0.25">
      <c r="I310" s="113"/>
      <c r="J310" s="114"/>
    </row>
    <row r="311" spans="9:10" s="111" customFormat="1" x14ac:dyDescent="0.25">
      <c r="I311" s="113"/>
      <c r="J311" s="114"/>
    </row>
    <row r="312" spans="9:10" s="111" customFormat="1" x14ac:dyDescent="0.25">
      <c r="I312" s="113"/>
      <c r="J312" s="114"/>
    </row>
    <row r="313" spans="9:10" s="111" customFormat="1" x14ac:dyDescent="0.25">
      <c r="I313" s="113"/>
      <c r="J313" s="114"/>
    </row>
    <row r="314" spans="9:10" s="111" customFormat="1" x14ac:dyDescent="0.25">
      <c r="I314" s="113"/>
      <c r="J314" s="114"/>
    </row>
    <row r="315" spans="9:10" s="111" customFormat="1" x14ac:dyDescent="0.25">
      <c r="I315" s="113"/>
      <c r="J315" s="114"/>
    </row>
    <row r="316" spans="9:10" s="111" customFormat="1" x14ac:dyDescent="0.25">
      <c r="I316" s="113"/>
      <c r="J316" s="114"/>
    </row>
    <row r="317" spans="9:10" s="111" customFormat="1" x14ac:dyDescent="0.25">
      <c r="I317" s="113"/>
      <c r="J317" s="114"/>
    </row>
    <row r="318" spans="9:10" s="111" customFormat="1" x14ac:dyDescent="0.25">
      <c r="I318" s="113"/>
      <c r="J318" s="114"/>
    </row>
    <row r="319" spans="9:10" s="111" customFormat="1" x14ac:dyDescent="0.25">
      <c r="I319" s="113"/>
      <c r="J319" s="114"/>
    </row>
    <row r="320" spans="9:10" s="111" customFormat="1" x14ac:dyDescent="0.25">
      <c r="I320" s="113"/>
      <c r="J320" s="114"/>
    </row>
    <row r="321" spans="9:10" s="111" customFormat="1" x14ac:dyDescent="0.25">
      <c r="I321" s="113"/>
      <c r="J321" s="114"/>
    </row>
    <row r="322" spans="9:10" s="111" customFormat="1" x14ac:dyDescent="0.25">
      <c r="I322" s="113"/>
      <c r="J322" s="114"/>
    </row>
    <row r="323" spans="9:10" s="111" customFormat="1" x14ac:dyDescent="0.25">
      <c r="I323" s="113"/>
      <c r="J323" s="114"/>
    </row>
    <row r="324" spans="9:10" s="111" customFormat="1" x14ac:dyDescent="0.25">
      <c r="I324" s="113"/>
      <c r="J324" s="114"/>
    </row>
    <row r="325" spans="9:10" s="111" customFormat="1" x14ac:dyDescent="0.25">
      <c r="I325" s="113"/>
      <c r="J325" s="114"/>
    </row>
    <row r="326" spans="9:10" s="111" customFormat="1" x14ac:dyDescent="0.25">
      <c r="I326" s="113"/>
      <c r="J326" s="114"/>
    </row>
    <row r="327" spans="9:10" s="111" customFormat="1" x14ac:dyDescent="0.25">
      <c r="I327" s="113"/>
      <c r="J327" s="114"/>
    </row>
    <row r="328" spans="9:10" s="111" customFormat="1" x14ac:dyDescent="0.25">
      <c r="I328" s="113"/>
      <c r="J328" s="114"/>
    </row>
    <row r="329" spans="9:10" s="111" customFormat="1" x14ac:dyDescent="0.25">
      <c r="I329" s="113"/>
      <c r="J329" s="114"/>
    </row>
    <row r="330" spans="9:10" s="111" customFormat="1" x14ac:dyDescent="0.25">
      <c r="I330" s="113"/>
      <c r="J330" s="114"/>
    </row>
    <row r="331" spans="9:10" s="111" customFormat="1" x14ac:dyDescent="0.25">
      <c r="I331" s="113"/>
      <c r="J331" s="114"/>
    </row>
    <row r="332" spans="9:10" s="111" customFormat="1" x14ac:dyDescent="0.25">
      <c r="I332" s="113"/>
      <c r="J332" s="114"/>
    </row>
    <row r="333" spans="9:10" s="111" customFormat="1" x14ac:dyDescent="0.25">
      <c r="I333" s="113"/>
      <c r="J333" s="114"/>
    </row>
    <row r="334" spans="9:10" s="111" customFormat="1" x14ac:dyDescent="0.25">
      <c r="I334" s="113"/>
      <c r="J334" s="114"/>
    </row>
    <row r="335" spans="9:10" s="111" customFormat="1" x14ac:dyDescent="0.25">
      <c r="I335" s="113"/>
      <c r="J335" s="114"/>
    </row>
    <row r="336" spans="9:10" s="111" customFormat="1" x14ac:dyDescent="0.25">
      <c r="I336" s="113"/>
      <c r="J336" s="114"/>
    </row>
    <row r="337" spans="9:10" s="111" customFormat="1" x14ac:dyDescent="0.25">
      <c r="I337" s="113"/>
      <c r="J337" s="114"/>
    </row>
    <row r="338" spans="9:10" s="111" customFormat="1" x14ac:dyDescent="0.25">
      <c r="I338" s="113"/>
      <c r="J338" s="114"/>
    </row>
    <row r="339" spans="9:10" s="111" customFormat="1" x14ac:dyDescent="0.25">
      <c r="I339" s="113"/>
      <c r="J339" s="114"/>
    </row>
    <row r="340" spans="9:10" s="111" customFormat="1" x14ac:dyDescent="0.25">
      <c r="I340" s="113"/>
      <c r="J340" s="114"/>
    </row>
    <row r="341" spans="9:10" s="111" customFormat="1" x14ac:dyDescent="0.25">
      <c r="I341" s="113"/>
      <c r="J341" s="114"/>
    </row>
    <row r="342" spans="9:10" s="111" customFormat="1" x14ac:dyDescent="0.25">
      <c r="I342" s="113"/>
      <c r="J342" s="114"/>
    </row>
    <row r="343" spans="9:10" s="111" customFormat="1" x14ac:dyDescent="0.25">
      <c r="I343" s="113"/>
      <c r="J343" s="114"/>
    </row>
    <row r="344" spans="9:10" s="111" customFormat="1" x14ac:dyDescent="0.25">
      <c r="I344" s="113"/>
      <c r="J344" s="114"/>
    </row>
    <row r="345" spans="9:10" s="111" customFormat="1" x14ac:dyDescent="0.25">
      <c r="I345" s="113"/>
      <c r="J345" s="114"/>
    </row>
    <row r="346" spans="9:10" s="111" customFormat="1" x14ac:dyDescent="0.25">
      <c r="I346" s="113"/>
      <c r="J346" s="114"/>
    </row>
    <row r="347" spans="9:10" s="111" customFormat="1" x14ac:dyDescent="0.25">
      <c r="I347" s="113"/>
      <c r="J347" s="114"/>
    </row>
    <row r="348" spans="9:10" s="111" customFormat="1" x14ac:dyDescent="0.25">
      <c r="I348" s="113"/>
      <c r="J348" s="114"/>
    </row>
    <row r="349" spans="9:10" s="111" customFormat="1" x14ac:dyDescent="0.25">
      <c r="I349" s="113"/>
      <c r="J349" s="114"/>
    </row>
    <row r="350" spans="9:10" s="111" customFormat="1" x14ac:dyDescent="0.25">
      <c r="I350" s="113"/>
      <c r="J350" s="114"/>
    </row>
    <row r="351" spans="9:10" s="111" customFormat="1" x14ac:dyDescent="0.25">
      <c r="I351" s="113"/>
      <c r="J351" s="114"/>
    </row>
    <row r="352" spans="9:10" s="111" customFormat="1" x14ac:dyDescent="0.25">
      <c r="I352" s="113"/>
      <c r="J352" s="114"/>
    </row>
    <row r="353" spans="9:10" s="111" customFormat="1" x14ac:dyDescent="0.25">
      <c r="I353" s="113"/>
      <c r="J353" s="114"/>
    </row>
    <row r="354" spans="9:10" s="111" customFormat="1" x14ac:dyDescent="0.25">
      <c r="I354" s="113"/>
      <c r="J354" s="114"/>
    </row>
    <row r="355" spans="9:10" s="111" customFormat="1" x14ac:dyDescent="0.25">
      <c r="I355" s="113"/>
      <c r="J355" s="114"/>
    </row>
    <row r="356" spans="9:10" s="111" customFormat="1" x14ac:dyDescent="0.25">
      <c r="I356" s="113"/>
      <c r="J356" s="114"/>
    </row>
    <row r="357" spans="9:10" s="111" customFormat="1" x14ac:dyDescent="0.25">
      <c r="I357" s="113"/>
      <c r="J357" s="114"/>
    </row>
    <row r="358" spans="9:10" s="111" customFormat="1" x14ac:dyDescent="0.25">
      <c r="I358" s="113"/>
      <c r="J358" s="114"/>
    </row>
    <row r="359" spans="9:10" s="111" customFormat="1" x14ac:dyDescent="0.25">
      <c r="I359" s="113"/>
      <c r="J359" s="114"/>
    </row>
    <row r="360" spans="9:10" s="111" customFormat="1" x14ac:dyDescent="0.25">
      <c r="I360" s="113"/>
      <c r="J360" s="114"/>
    </row>
    <row r="361" spans="9:10" s="111" customFormat="1" x14ac:dyDescent="0.25">
      <c r="I361" s="113"/>
      <c r="J361" s="114"/>
    </row>
    <row r="362" spans="9:10" s="111" customFormat="1" x14ac:dyDescent="0.25">
      <c r="I362" s="113"/>
      <c r="J362" s="114"/>
    </row>
    <row r="363" spans="9:10" s="111" customFormat="1" x14ac:dyDescent="0.25">
      <c r="I363" s="113"/>
      <c r="J363" s="114"/>
    </row>
    <row r="364" spans="9:10" s="111" customFormat="1" x14ac:dyDescent="0.25">
      <c r="I364" s="113"/>
      <c r="J364" s="114"/>
    </row>
    <row r="365" spans="9:10" s="111" customFormat="1" x14ac:dyDescent="0.25">
      <c r="I365" s="113"/>
      <c r="J365" s="114"/>
    </row>
    <row r="366" spans="9:10" s="111" customFormat="1" x14ac:dyDescent="0.25">
      <c r="I366" s="113"/>
      <c r="J366" s="114"/>
    </row>
    <row r="367" spans="9:10" s="111" customFormat="1" x14ac:dyDescent="0.25">
      <c r="I367" s="113"/>
      <c r="J367" s="114"/>
    </row>
    <row r="368" spans="9:10" s="111" customFormat="1" x14ac:dyDescent="0.25">
      <c r="I368" s="113"/>
      <c r="J368" s="114"/>
    </row>
    <row r="369" spans="9:10" s="111" customFormat="1" x14ac:dyDescent="0.25">
      <c r="I369" s="113"/>
      <c r="J369" s="114"/>
    </row>
    <row r="370" spans="9:10" s="111" customFormat="1" x14ac:dyDescent="0.25">
      <c r="I370" s="113"/>
      <c r="J370" s="114"/>
    </row>
    <row r="371" spans="9:10" s="111" customFormat="1" x14ac:dyDescent="0.25">
      <c r="I371" s="113"/>
      <c r="J371" s="114"/>
    </row>
    <row r="372" spans="9:10" s="111" customFormat="1" x14ac:dyDescent="0.25">
      <c r="I372" s="113"/>
      <c r="J372" s="114"/>
    </row>
    <row r="373" spans="9:10" s="111" customFormat="1" x14ac:dyDescent="0.25">
      <c r="I373" s="113"/>
      <c r="J373" s="114"/>
    </row>
    <row r="374" spans="9:10" s="111" customFormat="1" x14ac:dyDescent="0.25">
      <c r="I374" s="113"/>
      <c r="J374" s="114"/>
    </row>
    <row r="375" spans="9:10" s="111" customFormat="1" x14ac:dyDescent="0.25">
      <c r="I375" s="113"/>
      <c r="J375" s="114"/>
    </row>
    <row r="376" spans="9:10" s="111" customFormat="1" x14ac:dyDescent="0.25">
      <c r="I376" s="113"/>
      <c r="J376" s="114"/>
    </row>
    <row r="377" spans="9:10" s="111" customFormat="1" x14ac:dyDescent="0.25">
      <c r="I377" s="113"/>
      <c r="J377" s="114"/>
    </row>
    <row r="378" spans="9:10" s="111" customFormat="1" x14ac:dyDescent="0.25">
      <c r="I378" s="113"/>
      <c r="J378" s="114"/>
    </row>
    <row r="379" spans="9:10" s="111" customFormat="1" x14ac:dyDescent="0.25">
      <c r="I379" s="113"/>
      <c r="J379" s="114"/>
    </row>
    <row r="380" spans="9:10" s="111" customFormat="1" x14ac:dyDescent="0.25">
      <c r="I380" s="113"/>
      <c r="J380" s="114"/>
    </row>
    <row r="381" spans="9:10" s="111" customFormat="1" x14ac:dyDescent="0.25">
      <c r="I381" s="113"/>
      <c r="J381" s="114"/>
    </row>
    <row r="382" spans="9:10" s="111" customFormat="1" x14ac:dyDescent="0.25">
      <c r="I382" s="113"/>
      <c r="J382" s="114"/>
    </row>
    <row r="383" spans="9:10" s="111" customFormat="1" x14ac:dyDescent="0.25">
      <c r="I383" s="113"/>
      <c r="J383" s="114"/>
    </row>
    <row r="384" spans="9:10" s="111" customFormat="1" x14ac:dyDescent="0.25">
      <c r="I384" s="113"/>
      <c r="J384" s="114"/>
    </row>
    <row r="385" spans="9:10" s="111" customFormat="1" x14ac:dyDescent="0.25">
      <c r="I385" s="113"/>
      <c r="J385" s="114"/>
    </row>
    <row r="386" spans="9:10" s="111" customFormat="1" x14ac:dyDescent="0.25">
      <c r="I386" s="113"/>
      <c r="J386" s="114"/>
    </row>
    <row r="387" spans="9:10" s="111" customFormat="1" x14ac:dyDescent="0.25">
      <c r="I387" s="113"/>
      <c r="J387" s="114"/>
    </row>
    <row r="388" spans="9:10" s="111" customFormat="1" x14ac:dyDescent="0.25">
      <c r="I388" s="113"/>
      <c r="J388" s="114"/>
    </row>
    <row r="389" spans="9:10" s="111" customFormat="1" x14ac:dyDescent="0.25">
      <c r="I389" s="113"/>
      <c r="J389" s="114"/>
    </row>
    <row r="390" spans="9:10" s="111" customFormat="1" x14ac:dyDescent="0.25">
      <c r="I390" s="113"/>
      <c r="J390" s="114"/>
    </row>
    <row r="391" spans="9:10" s="111" customFormat="1" x14ac:dyDescent="0.25">
      <c r="I391" s="113"/>
      <c r="J391" s="114"/>
    </row>
    <row r="392" spans="9:10" s="111" customFormat="1" x14ac:dyDescent="0.25">
      <c r="I392" s="113"/>
      <c r="J392" s="114"/>
    </row>
    <row r="393" spans="9:10" s="111" customFormat="1" x14ac:dyDescent="0.25">
      <c r="I393" s="113"/>
      <c r="J393" s="114"/>
    </row>
    <row r="394" spans="9:10" s="111" customFormat="1" x14ac:dyDescent="0.25">
      <c r="I394" s="113"/>
      <c r="J394" s="114"/>
    </row>
    <row r="395" spans="9:10" s="111" customFormat="1" x14ac:dyDescent="0.25">
      <c r="I395" s="113"/>
      <c r="J395" s="114"/>
    </row>
    <row r="396" spans="9:10" s="111" customFormat="1" x14ac:dyDescent="0.25">
      <c r="I396" s="113"/>
      <c r="J396" s="114"/>
    </row>
    <row r="397" spans="9:10" s="111" customFormat="1" x14ac:dyDescent="0.25">
      <c r="I397" s="113"/>
      <c r="J397" s="114"/>
    </row>
    <row r="398" spans="9:10" s="111" customFormat="1" x14ac:dyDescent="0.25">
      <c r="I398" s="113"/>
      <c r="J398" s="114"/>
    </row>
    <row r="399" spans="9:10" s="111" customFormat="1" x14ac:dyDescent="0.25">
      <c r="I399" s="113"/>
      <c r="J399" s="114"/>
    </row>
    <row r="400" spans="9:10" s="111" customFormat="1" x14ac:dyDescent="0.25">
      <c r="I400" s="113"/>
      <c r="J400" s="114"/>
    </row>
    <row r="401" spans="9:10" s="111" customFormat="1" x14ac:dyDescent="0.25">
      <c r="I401" s="113"/>
      <c r="J401" s="114"/>
    </row>
    <row r="402" spans="9:10" s="111" customFormat="1" x14ac:dyDescent="0.25">
      <c r="I402" s="113"/>
      <c r="J402" s="114"/>
    </row>
    <row r="403" spans="9:10" s="111" customFormat="1" x14ac:dyDescent="0.25">
      <c r="I403" s="113"/>
      <c r="J403" s="114"/>
    </row>
    <row r="404" spans="9:10" s="111" customFormat="1" x14ac:dyDescent="0.25">
      <c r="I404" s="113"/>
      <c r="J404" s="114"/>
    </row>
  </sheetData>
  <mergeCells count="12">
    <mergeCell ref="L11:N11"/>
    <mergeCell ref="L12:N12"/>
    <mergeCell ref="L21:N21"/>
    <mergeCell ref="X2:Y2"/>
    <mergeCell ref="D9:O9"/>
    <mergeCell ref="S9:T9"/>
    <mergeCell ref="X9:Y9"/>
    <mergeCell ref="D1:E1"/>
    <mergeCell ref="D2:E2"/>
    <mergeCell ref="Q2:Q9"/>
    <mergeCell ref="S2:T2"/>
    <mergeCell ref="U2:U9"/>
  </mergeCells>
  <conditionalFormatting sqref="K14:K16 K20">
    <cfRule type="iconSet" priority="9">
      <iconSet iconSet="3Symbols">
        <cfvo type="percent" val="0"/>
        <cfvo type="num" val="0" gte="0"/>
        <cfvo type="num" val="3"/>
      </iconSet>
    </cfRule>
  </conditionalFormatting>
  <conditionalFormatting sqref="K19">
    <cfRule type="iconSet" priority="7">
      <iconSet iconSet="3Symbols">
        <cfvo type="percent" val="0"/>
        <cfvo type="num" val="0" gte="0"/>
        <cfvo type="num" val="3"/>
      </iconSet>
    </cfRule>
  </conditionalFormatting>
  <conditionalFormatting sqref="K23:K25">
    <cfRule type="iconSet" priority="2">
      <iconSet iconSet="3Symbols">
        <cfvo type="percent" val="0"/>
        <cfvo type="num" val="0" gte="0"/>
        <cfvo type="num" val="3"/>
      </iconSet>
    </cfRule>
  </conditionalFormatting>
  <conditionalFormatting sqref="K26:N28">
    <cfRule type="iconSet" priority="11">
      <iconSet iconSet="3Symbols">
        <cfvo type="percent" val="0"/>
        <cfvo type="num" val="0" gte="0"/>
        <cfvo type="num" val="3"/>
      </iconSet>
    </cfRule>
  </conditionalFormatting>
  <conditionalFormatting sqref="L19">
    <cfRule type="iconSet" priority="5">
      <iconSet iconSet="3Symbols">
        <cfvo type="percent" val="0"/>
        <cfvo type="num" val="0" gte="0"/>
        <cfvo type="num" val="3"/>
      </iconSet>
    </cfRule>
  </conditionalFormatting>
  <conditionalFormatting sqref="L20:N20 L14:N16 L23:N25">
    <cfRule type="iconSet" priority="12">
      <iconSet iconSet="3Symbols">
        <cfvo type="percent" val="0"/>
        <cfvo type="num" val="0" gte="0"/>
        <cfvo type="num" val="3"/>
      </iconSet>
    </cfRule>
  </conditionalFormatting>
  <conditionalFormatting sqref="M19:N19">
    <cfRule type="iconSet" priority="6">
      <iconSet iconSet="3Symbols">
        <cfvo type="percent" val="0"/>
        <cfvo type="num" val="0" gte="0"/>
        <cfvo type="num" val="3"/>
      </iconSet>
    </cfRule>
  </conditionalFormatting>
  <conditionalFormatting sqref="R14:R16">
    <cfRule type="iconSet" priority="4">
      <iconSet iconSet="3Symbols">
        <cfvo type="percent" val="0"/>
        <cfvo type="num" val="0" gte="0"/>
        <cfvo type="num" val="3"/>
      </iconSet>
    </cfRule>
  </conditionalFormatting>
  <conditionalFormatting sqref="R19">
    <cfRule type="iconSet" priority="3">
      <iconSet iconSet="3Symbols">
        <cfvo type="percent" val="0"/>
        <cfvo type="num" val="0" gte="0"/>
        <cfvo type="num" val="3"/>
      </iconSet>
    </cfRule>
  </conditionalFormatting>
  <conditionalFormatting sqref="R23:R25">
    <cfRule type="iconSet" priority="1">
      <iconSet iconSet="3Symbols">
        <cfvo type="percent" val="0"/>
        <cfvo type="num" val="0" gte="0"/>
        <cfvo type="num" val="3"/>
      </iconSet>
    </cfRule>
  </conditionalFormatting>
  <hyperlinks>
    <hyperlink ref="G14" r:id="rId1" xr:uid="{5595C280-2599-40C7-AE5F-DFAF11F6D5F4}"/>
    <hyperlink ref="G19" r:id="rId2" xr:uid="{85F316BD-B758-4ED9-88CA-EB339EEA7A2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NETFLIX</vt:lpstr>
      <vt:lpstr>COMBO PLUS</vt:lpstr>
      <vt:lpstr>CLARO VIDEO</vt:lpstr>
      <vt:lpstr>DISNEY</vt:lpstr>
      <vt:lpstr>STAR </vt:lpstr>
      <vt:lpstr>HBO</vt:lpstr>
      <vt:lpstr>PRIME</vt:lpstr>
      <vt:lpstr>MOVISTAR </vt:lpstr>
      <vt:lpstr>DIRECTV</vt:lpstr>
      <vt:lpstr>PARAMOUNT</vt:lpstr>
      <vt:lpstr>SPOTIFY</vt:lpstr>
      <vt:lpstr>IPTV</vt:lpstr>
      <vt:lpstr>CRUNCHYROLL</vt:lpstr>
      <vt:lpstr>APPLE TV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GANDY</cp:lastModifiedBy>
  <dcterms:created xsi:type="dcterms:W3CDTF">2023-08-30T04:14:51Z</dcterms:created>
  <dcterms:modified xsi:type="dcterms:W3CDTF">2024-04-10T16:09:28Z</dcterms:modified>
</cp:coreProperties>
</file>